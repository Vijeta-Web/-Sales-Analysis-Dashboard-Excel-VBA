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Saini\OneDrive\Desktop\"/>
    </mc:Choice>
  </mc:AlternateContent>
  <xr:revisionPtr revIDLastSave="0" documentId="13_ncr:1_{6F6C419D-364C-4C09-AF4A-2786EB653A99}" xr6:coauthVersionLast="47" xr6:coauthVersionMax="47" xr10:uidLastSave="{00000000-0000-0000-0000-000000000000}"/>
  <bookViews>
    <workbookView xWindow="0" yWindow="0" windowWidth="20490" windowHeight="10920" xr2:uid="{D7DA0071-4F46-4F8A-85E6-CD228EAF6774}"/>
  </bookViews>
  <sheets>
    <sheet name="Sale-Dashboard" sheetId="2" r:id="rId1"/>
    <sheet name="Raw-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32" i="1" l="1"/>
  <c r="K32" i="1" s="1"/>
  <c r="L32" i="1" s="1"/>
  <c r="I17" i="1"/>
  <c r="K17" i="1" s="1"/>
  <c r="L17" i="1" s="1"/>
  <c r="I57" i="1"/>
  <c r="K57" i="1" s="1"/>
  <c r="L57" i="1" s="1"/>
  <c r="I42" i="1"/>
  <c r="K42" i="1" s="1"/>
  <c r="L42" i="1" s="1"/>
  <c r="I54" i="1"/>
  <c r="K54" i="1" s="1"/>
  <c r="L54" i="1" s="1"/>
  <c r="I94" i="1"/>
  <c r="K94" i="1" s="1"/>
  <c r="L94" i="1" s="1"/>
  <c r="I22" i="1"/>
  <c r="K22" i="1" s="1"/>
  <c r="L22" i="1" s="1"/>
  <c r="I61" i="1"/>
  <c r="K61" i="1" s="1"/>
  <c r="L61" i="1" s="1"/>
  <c r="I62" i="1"/>
  <c r="K62" i="1" s="1"/>
  <c r="L62" i="1" s="1"/>
  <c r="I89" i="1"/>
  <c r="K89" i="1" s="1"/>
  <c r="L89" i="1" s="1"/>
  <c r="I3" i="1"/>
  <c r="K3" i="1" s="1"/>
  <c r="L3" i="1" s="1"/>
  <c r="I88" i="1"/>
  <c r="K88" i="1" s="1"/>
  <c r="L88" i="1" s="1"/>
  <c r="I98" i="1"/>
  <c r="K98" i="1" s="1"/>
  <c r="L98" i="1" s="1"/>
  <c r="I65" i="1"/>
  <c r="K65" i="1" s="1"/>
  <c r="L65" i="1" s="1"/>
  <c r="I75" i="1"/>
  <c r="K75" i="1" s="1"/>
  <c r="L75" i="1" s="1"/>
  <c r="I51" i="1"/>
  <c r="K51" i="1" s="1"/>
  <c r="L51" i="1" s="1"/>
  <c r="I38" i="1"/>
  <c r="K38" i="1" s="1"/>
  <c r="L38" i="1" s="1"/>
  <c r="I15" i="1"/>
  <c r="K15" i="1" s="1"/>
  <c r="L15" i="1" s="1"/>
  <c r="I37" i="1"/>
  <c r="K37" i="1" s="1"/>
  <c r="L37" i="1" s="1"/>
  <c r="I11" i="1"/>
  <c r="K11" i="1" s="1"/>
  <c r="L11" i="1" s="1"/>
  <c r="I63" i="1"/>
  <c r="K63" i="1" s="1"/>
  <c r="L63" i="1" s="1"/>
  <c r="I49" i="1"/>
  <c r="K49" i="1" s="1"/>
  <c r="L49" i="1" s="1"/>
  <c r="I93" i="1"/>
  <c r="K93" i="1" s="1"/>
  <c r="L93" i="1" s="1"/>
  <c r="I55" i="1"/>
  <c r="K55" i="1" s="1"/>
  <c r="L55" i="1" s="1"/>
  <c r="I18" i="1"/>
  <c r="K18" i="1" s="1"/>
  <c r="L18" i="1" s="1"/>
  <c r="I20" i="1"/>
  <c r="K20" i="1" s="1"/>
  <c r="L20" i="1" s="1"/>
  <c r="I58" i="1"/>
  <c r="K58" i="1" s="1"/>
  <c r="L58" i="1" s="1"/>
  <c r="I92" i="1"/>
  <c r="K92" i="1" s="1"/>
  <c r="L92" i="1" s="1"/>
  <c r="I56" i="1"/>
  <c r="K56" i="1" s="1"/>
  <c r="L56" i="1" s="1"/>
  <c r="I46" i="1"/>
  <c r="K46" i="1" s="1"/>
  <c r="L46" i="1" s="1"/>
  <c r="I100" i="1"/>
  <c r="K100" i="1" s="1"/>
  <c r="L100" i="1" s="1"/>
  <c r="I72" i="1"/>
  <c r="K72" i="1" s="1"/>
  <c r="L72" i="1" s="1"/>
  <c r="I71" i="1"/>
  <c r="K71" i="1" s="1"/>
  <c r="L71" i="1" s="1"/>
  <c r="I30" i="1"/>
  <c r="K30" i="1" s="1"/>
  <c r="L30" i="1" s="1"/>
  <c r="I79" i="1"/>
  <c r="K79" i="1" s="1"/>
  <c r="L79" i="1" s="1"/>
  <c r="I25" i="1"/>
  <c r="K25" i="1" s="1"/>
  <c r="L25" i="1" s="1"/>
  <c r="I53" i="1"/>
  <c r="K53" i="1" s="1"/>
  <c r="L53" i="1" s="1"/>
  <c r="I35" i="1"/>
  <c r="K35" i="1" s="1"/>
  <c r="L35" i="1" s="1"/>
  <c r="I86" i="1"/>
  <c r="K86" i="1" s="1"/>
  <c r="L86" i="1" s="1"/>
  <c r="I7" i="1"/>
  <c r="K7" i="1" s="1"/>
  <c r="L7" i="1" s="1"/>
  <c r="I33" i="1"/>
  <c r="K33" i="1" s="1"/>
  <c r="L33" i="1" s="1"/>
  <c r="I44" i="1"/>
  <c r="K44" i="1" s="1"/>
  <c r="L44" i="1" s="1"/>
  <c r="I68" i="1"/>
  <c r="K68" i="1" s="1"/>
  <c r="L68" i="1" s="1"/>
  <c r="I60" i="1"/>
  <c r="K60" i="1" s="1"/>
  <c r="L60" i="1" s="1"/>
  <c r="I76" i="1"/>
  <c r="K76" i="1" s="1"/>
  <c r="L76" i="1" s="1"/>
  <c r="I16" i="1"/>
  <c r="K16" i="1" s="1"/>
  <c r="L16" i="1" s="1"/>
  <c r="I85" i="1"/>
  <c r="K85" i="1" s="1"/>
  <c r="L85" i="1" s="1"/>
  <c r="I87" i="1"/>
  <c r="K87" i="1" s="1"/>
  <c r="L87" i="1" s="1"/>
  <c r="I14" i="1"/>
  <c r="K14" i="1" s="1"/>
  <c r="L14" i="1" s="1"/>
  <c r="I40" i="1"/>
  <c r="K40" i="1" s="1"/>
  <c r="L40" i="1" s="1"/>
  <c r="I97" i="1"/>
  <c r="K97" i="1" s="1"/>
  <c r="L97" i="1" s="1"/>
  <c r="I80" i="1"/>
  <c r="K80" i="1" s="1"/>
  <c r="L80" i="1" s="1"/>
  <c r="I8" i="1"/>
  <c r="K8" i="1" s="1"/>
  <c r="L8" i="1" s="1"/>
  <c r="I43" i="1"/>
  <c r="K43" i="1" s="1"/>
  <c r="L43" i="1" s="1"/>
  <c r="I64" i="1"/>
  <c r="K64" i="1" s="1"/>
  <c r="L64" i="1" s="1"/>
  <c r="I6" i="1"/>
  <c r="K6" i="1" s="1"/>
  <c r="L6" i="1" s="1"/>
  <c r="I34" i="1"/>
  <c r="K34" i="1" s="1"/>
  <c r="L34" i="1" s="1"/>
  <c r="I82" i="1"/>
  <c r="K82" i="1" s="1"/>
  <c r="L82" i="1" s="1"/>
  <c r="I81" i="1"/>
  <c r="K81" i="1" s="1"/>
  <c r="L81" i="1" s="1"/>
  <c r="I84" i="1"/>
  <c r="K84" i="1" s="1"/>
  <c r="L84" i="1" s="1"/>
  <c r="I9" i="1"/>
  <c r="K9" i="1" s="1"/>
  <c r="L9" i="1" s="1"/>
  <c r="I48" i="1"/>
  <c r="K48" i="1" s="1"/>
  <c r="L48" i="1" s="1"/>
  <c r="I2" i="1"/>
  <c r="K2" i="1" s="1"/>
  <c r="L2" i="1" s="1"/>
  <c r="I95" i="1"/>
  <c r="K95" i="1" s="1"/>
  <c r="L95" i="1" s="1"/>
  <c r="I10" i="1"/>
  <c r="K10" i="1" s="1"/>
  <c r="L10" i="1" s="1"/>
  <c r="I19" i="1"/>
  <c r="K19" i="1" s="1"/>
  <c r="L19" i="1" s="1"/>
  <c r="I50" i="1"/>
  <c r="K50" i="1" s="1"/>
  <c r="L50" i="1" s="1"/>
  <c r="I90" i="1"/>
  <c r="K90" i="1" s="1"/>
  <c r="L90" i="1" s="1"/>
  <c r="I74" i="1"/>
  <c r="K74" i="1" s="1"/>
  <c r="L74" i="1" s="1"/>
  <c r="I39" i="1"/>
  <c r="K39" i="1" s="1"/>
  <c r="L39" i="1" s="1"/>
  <c r="I41" i="1"/>
  <c r="K41" i="1" s="1"/>
  <c r="L41" i="1" s="1"/>
  <c r="I23" i="1"/>
  <c r="K23" i="1" s="1"/>
  <c r="L23" i="1" s="1"/>
  <c r="I73" i="1"/>
  <c r="K73" i="1" s="1"/>
  <c r="L73" i="1" s="1"/>
  <c r="I70" i="1"/>
  <c r="K70" i="1" s="1"/>
  <c r="L70" i="1" s="1"/>
  <c r="I78" i="1"/>
  <c r="K78" i="1" s="1"/>
  <c r="L78" i="1" s="1"/>
  <c r="I52" i="1"/>
  <c r="K52" i="1" s="1"/>
  <c r="L52" i="1" s="1"/>
  <c r="I26" i="1"/>
  <c r="K26" i="1" s="1"/>
  <c r="L26" i="1" s="1"/>
  <c r="I67" i="1"/>
  <c r="K67" i="1" s="1"/>
  <c r="L67" i="1" s="1"/>
  <c r="I28" i="1"/>
  <c r="K28" i="1" s="1"/>
  <c r="L28" i="1" s="1"/>
  <c r="I69" i="1"/>
  <c r="K69" i="1" s="1"/>
  <c r="L69" i="1" s="1"/>
  <c r="I5" i="1"/>
  <c r="K5" i="1" s="1"/>
  <c r="L5" i="1" s="1"/>
  <c r="I13" i="1"/>
  <c r="K13" i="1" s="1"/>
  <c r="L13" i="1" s="1"/>
  <c r="I4" i="1"/>
  <c r="K4" i="1" s="1"/>
  <c r="L4" i="1" s="1"/>
  <c r="I77" i="1"/>
  <c r="K77" i="1" s="1"/>
  <c r="L77" i="1" s="1"/>
  <c r="I45" i="1"/>
  <c r="K45" i="1" s="1"/>
  <c r="L45" i="1" s="1"/>
  <c r="I29" i="1"/>
  <c r="K29" i="1" s="1"/>
  <c r="L29" i="1" s="1"/>
  <c r="I99" i="1"/>
  <c r="K99" i="1" s="1"/>
  <c r="L99" i="1" s="1"/>
  <c r="I12" i="1"/>
  <c r="K12" i="1" s="1"/>
  <c r="L12" i="1" s="1"/>
  <c r="I91" i="1"/>
  <c r="K91" i="1" s="1"/>
  <c r="L91" i="1" s="1"/>
  <c r="I27" i="1"/>
  <c r="K27" i="1" s="1"/>
  <c r="L27" i="1" s="1"/>
  <c r="I83" i="1"/>
  <c r="K83" i="1" s="1"/>
  <c r="L83" i="1" s="1"/>
  <c r="I101" i="1"/>
  <c r="K101" i="1" s="1"/>
  <c r="L101" i="1" s="1"/>
  <c r="I31" i="1"/>
  <c r="K31" i="1" s="1"/>
  <c r="L31" i="1" s="1"/>
  <c r="I36" i="1"/>
  <c r="K36" i="1" s="1"/>
  <c r="L36" i="1" s="1"/>
  <c r="I21" i="1"/>
  <c r="K21" i="1" s="1"/>
  <c r="L21" i="1" s="1"/>
  <c r="I59" i="1"/>
  <c r="K59" i="1" s="1"/>
  <c r="L59" i="1" s="1"/>
  <c r="I96" i="1"/>
  <c r="K96" i="1" s="1"/>
  <c r="L96" i="1" s="1"/>
  <c r="I47" i="1"/>
  <c r="K47" i="1" s="1"/>
  <c r="L47" i="1" s="1"/>
  <c r="I66" i="1"/>
  <c r="K66" i="1" s="1"/>
  <c r="L66" i="1" s="1"/>
  <c r="I24" i="1"/>
  <c r="K24" i="1" s="1"/>
  <c r="L24" i="1" s="1"/>
</calcChain>
</file>

<file path=xl/sharedStrings.xml><?xml version="1.0" encoding="utf-8"?>
<sst xmlns="http://schemas.openxmlformats.org/spreadsheetml/2006/main" count="359" uniqueCount="295">
  <si>
    <t>Emp Code</t>
  </si>
  <si>
    <t>Sales Executive</t>
  </si>
  <si>
    <t>Region</t>
  </si>
  <si>
    <t>Day 1</t>
  </si>
  <si>
    <t>Day 2</t>
  </si>
  <si>
    <t>Day 3</t>
  </si>
  <si>
    <t>Day 4</t>
  </si>
  <si>
    <t>Day 5</t>
  </si>
  <si>
    <t>Total Sales</t>
  </si>
  <si>
    <t>Target</t>
  </si>
  <si>
    <t>Mem. ID01</t>
  </si>
  <si>
    <t>Mem. ID02</t>
  </si>
  <si>
    <t>Mem. ID03</t>
  </si>
  <si>
    <t>Mem. ID04</t>
  </si>
  <si>
    <t>Mem. ID05</t>
  </si>
  <si>
    <t>Mem. ID06</t>
  </si>
  <si>
    <t>Mem. ID07</t>
  </si>
  <si>
    <t>Mem. ID08</t>
  </si>
  <si>
    <t>Mem. ID09</t>
  </si>
  <si>
    <t>Mem. ID10</t>
  </si>
  <si>
    <t>Mem. ID11</t>
  </si>
  <si>
    <t>Mem. ID12</t>
  </si>
  <si>
    <t>Mem. ID13</t>
  </si>
  <si>
    <t>Mem. ID14</t>
  </si>
  <si>
    <t>Mem. ID15</t>
  </si>
  <si>
    <t>Mem. ID16</t>
  </si>
  <si>
    <t>Mem. ID17</t>
  </si>
  <si>
    <t>Mem. ID18</t>
  </si>
  <si>
    <t>Mem. ID19</t>
  </si>
  <si>
    <t>Mem. ID20</t>
  </si>
  <si>
    <t>Mem. ID21</t>
  </si>
  <si>
    <t>Mem. ID22</t>
  </si>
  <si>
    <t>Mem. ID23</t>
  </si>
  <si>
    <t>Mem. ID24</t>
  </si>
  <si>
    <t>Mem. ID25</t>
  </si>
  <si>
    <t>Mem. ID26</t>
  </si>
  <si>
    <t>Mem. ID27</t>
  </si>
  <si>
    <t>Mem. ID28</t>
  </si>
  <si>
    <t>Mem. ID29</t>
  </si>
  <si>
    <t>Mem. ID30</t>
  </si>
  <si>
    <t>Mem. ID31</t>
  </si>
  <si>
    <t>Mem. ID32</t>
  </si>
  <si>
    <t>Mem. ID33</t>
  </si>
  <si>
    <t>Mem. ID34</t>
  </si>
  <si>
    <t>Mem. ID35</t>
  </si>
  <si>
    <t>Mem. ID36</t>
  </si>
  <si>
    <t>Mem. ID37</t>
  </si>
  <si>
    <t>Mem. ID38</t>
  </si>
  <si>
    <t>Mem. ID39</t>
  </si>
  <si>
    <t>Mem. ID40</t>
  </si>
  <si>
    <t>Mem. ID41</t>
  </si>
  <si>
    <t>Mem. ID42</t>
  </si>
  <si>
    <t>Mem. ID43</t>
  </si>
  <si>
    <t>Mem. ID44</t>
  </si>
  <si>
    <t>Mem. ID45</t>
  </si>
  <si>
    <t>Mem. ID46</t>
  </si>
  <si>
    <t>Mem. ID47</t>
  </si>
  <si>
    <t>Mem. ID48</t>
  </si>
  <si>
    <t>Mem. ID49</t>
  </si>
  <si>
    <t>Mem. ID50</t>
  </si>
  <si>
    <t>Mem. ID51</t>
  </si>
  <si>
    <t>Mem. ID52</t>
  </si>
  <si>
    <t>Mem. ID53</t>
  </si>
  <si>
    <t>Mem. ID54</t>
  </si>
  <si>
    <t>Mem. ID55</t>
  </si>
  <si>
    <t>Mem. ID56</t>
  </si>
  <si>
    <t>Mem. ID57</t>
  </si>
  <si>
    <t>Mem. ID58</t>
  </si>
  <si>
    <t>Mem. ID59</t>
  </si>
  <si>
    <t>Mem. ID60</t>
  </si>
  <si>
    <t>Mem. ID61</t>
  </si>
  <si>
    <t>Mem. ID62</t>
  </si>
  <si>
    <t>Mem. ID63</t>
  </si>
  <si>
    <t>Mem. ID64</t>
  </si>
  <si>
    <t>Mem. ID65</t>
  </si>
  <si>
    <t>Mem. ID66</t>
  </si>
  <si>
    <t>Mem. ID67</t>
  </si>
  <si>
    <t>Mem. ID68</t>
  </si>
  <si>
    <t>Mem. ID69</t>
  </si>
  <si>
    <t>Mem. ID70</t>
  </si>
  <si>
    <t>Mem. ID71</t>
  </si>
  <si>
    <t>Mem. ID72</t>
  </si>
  <si>
    <t>Mem. ID73</t>
  </si>
  <si>
    <t>Mem. ID74</t>
  </si>
  <si>
    <t>Mem. ID75</t>
  </si>
  <si>
    <t>Mem. ID76</t>
  </si>
  <si>
    <t>Mem. ID77</t>
  </si>
  <si>
    <t>Mem. ID78</t>
  </si>
  <si>
    <t>Mem. ID79</t>
  </si>
  <si>
    <t>Mem. ID80</t>
  </si>
  <si>
    <t>Mem. ID81</t>
  </si>
  <si>
    <t>Mem. ID82</t>
  </si>
  <si>
    <t>Mem. ID83</t>
  </si>
  <si>
    <t>Mem. ID84</t>
  </si>
  <si>
    <t>Mem. ID85</t>
  </si>
  <si>
    <t>Mem. ID86</t>
  </si>
  <si>
    <t>Mem. ID87</t>
  </si>
  <si>
    <t>Mem. ID88</t>
  </si>
  <si>
    <t>Mem. ID89</t>
  </si>
  <si>
    <t>Mem. ID90</t>
  </si>
  <si>
    <t>Mem. ID91</t>
  </si>
  <si>
    <t>Mem. ID92</t>
  </si>
  <si>
    <t>Mem. ID93</t>
  </si>
  <si>
    <t>Mem. ID94</t>
  </si>
  <si>
    <t>Mem. ID95</t>
  </si>
  <si>
    <t>Mem. ID96</t>
  </si>
  <si>
    <t>Mem. ID97</t>
  </si>
  <si>
    <t>Mem. ID98</t>
  </si>
  <si>
    <t>Mem. ID99</t>
  </si>
  <si>
    <t>Mem. ID100</t>
  </si>
  <si>
    <t>Amit Sharma</t>
  </si>
  <si>
    <t>Rahul Verma</t>
  </si>
  <si>
    <t>Ankit Gupta</t>
  </si>
  <si>
    <t>Pankaj Singh</t>
  </si>
  <si>
    <t>Rohit Malhotra</t>
  </si>
  <si>
    <t>Neeraj Kumar</t>
  </si>
  <si>
    <t>Sandeep Yadav</t>
  </si>
  <si>
    <t>Vikas Mehta</t>
  </si>
  <si>
    <t>Nitin Bansal</t>
  </si>
  <si>
    <t>Mohit Aggarwal</t>
  </si>
  <si>
    <t>Ramesh Iyer</t>
  </si>
  <si>
    <t>Kunal Shah</t>
  </si>
  <si>
    <t>Pratik Patel</t>
  </si>
  <si>
    <t>Hardik Desai</t>
  </si>
  <si>
    <t>Jayesh Joshi</t>
  </si>
  <si>
    <t>Nilesh Patil</t>
  </si>
  <si>
    <t>Akash Kulkarni</t>
  </si>
  <si>
    <t>Swapnil More</t>
  </si>
  <si>
    <t>Saurabh Jain</t>
  </si>
  <si>
    <t>Manish Chouhan</t>
  </si>
  <si>
    <t>Arjun Reddy</t>
  </si>
  <si>
    <t>Karthik Rao</t>
  </si>
  <si>
    <t>Naveen Kumar</t>
  </si>
  <si>
    <t>Praveen Nair</t>
  </si>
  <si>
    <t>Suresh Menon</t>
  </si>
  <si>
    <t>Vinod Pillai</t>
  </si>
  <si>
    <t>Raghav Iyer</t>
  </si>
  <si>
    <t>Dinesh Kumar</t>
  </si>
  <si>
    <t>Sanjay Raj</t>
  </si>
  <si>
    <t>Balaji Srinivasan</t>
  </si>
  <si>
    <t>Abhishek Mishra</t>
  </si>
  <si>
    <t>Prakash Tiwari</t>
  </si>
  <si>
    <t>Shubham Pandey</t>
  </si>
  <si>
    <t>Ashutosh Rai</t>
  </si>
  <si>
    <t>Deepak Singh</t>
  </si>
  <si>
    <t>Rakesh Kumar</t>
  </si>
  <si>
    <t>Alok Verma</t>
  </si>
  <si>
    <t>Manoj Sinha</t>
  </si>
  <si>
    <t>Anirban Das</t>
  </si>
  <si>
    <t>Soumik Banerjee</t>
  </si>
  <si>
    <t>Subhash Chandra</t>
  </si>
  <si>
    <t>Kalyan Paul</t>
  </si>
  <si>
    <t>Ranjit Das</t>
  </si>
  <si>
    <t>Bikash Saikia</t>
  </si>
  <si>
    <t>Santosh Naik</t>
  </si>
  <si>
    <t>Pramod Sawant</t>
  </si>
  <si>
    <t>Sunil Yadav</t>
  </si>
  <si>
    <t>Dinesh Patel</t>
  </si>
  <si>
    <t>Kapil Thakur</t>
  </si>
  <si>
    <t>Ajay Negi</t>
  </si>
  <si>
    <t>Sameer Khan</t>
  </si>
  <si>
    <t>Farhan Ali</t>
  </si>
  <si>
    <t>Iqbal Hussain</t>
  </si>
  <si>
    <t>Arvind Soni</t>
  </si>
  <si>
    <t>Tejas Kulkarni</t>
  </si>
  <si>
    <t>Omkar Joshi</t>
  </si>
  <si>
    <t>Piyush Goyal</t>
  </si>
  <si>
    <t>Nikhil Jain</t>
  </si>
  <si>
    <t>Hemant Rawat</t>
  </si>
  <si>
    <t>Vivek Joshi</t>
  </si>
  <si>
    <t>Satyam Tripathi</t>
  </si>
  <si>
    <t>Rajeev Shukla</t>
  </si>
  <si>
    <t>Tushar Chatterjee</t>
  </si>
  <si>
    <t>Ankit Ghosh</t>
  </si>
  <si>
    <t>Debashis Roy</t>
  </si>
  <si>
    <t>Prasenjit Deb</t>
  </si>
  <si>
    <t>Nandini Rao</t>
  </si>
  <si>
    <t>Kavya Iyer</t>
  </si>
  <si>
    <t>Pooja Nair</t>
  </si>
  <si>
    <t>Anjali Menon</t>
  </si>
  <si>
    <t>Sneha Kulkarni</t>
  </si>
  <si>
    <t>Ritu Jain</t>
  </si>
  <si>
    <t>Neha Agarwal</t>
  </si>
  <si>
    <t>Kritika Bansal</t>
  </si>
  <si>
    <t>Aishwarya Mishra</t>
  </si>
  <si>
    <t>Pallavi Sinha</t>
  </si>
  <si>
    <t>Shalini Verma</t>
  </si>
  <si>
    <t>Riya Das</t>
  </si>
  <si>
    <t>Priya Sen</t>
  </si>
  <si>
    <t>Meenal Gupta</t>
  </si>
  <si>
    <t>Tarun Arora</t>
  </si>
  <si>
    <t>Yash Mittal</t>
  </si>
  <si>
    <t>Keshav Gaur</t>
  </si>
  <si>
    <t>Mahesh Prajapati</t>
  </si>
  <si>
    <t>Lokesh Meena</t>
  </si>
  <si>
    <t>Chirag Parmar</t>
  </si>
  <si>
    <t>Bhavin Joshi</t>
  </si>
  <si>
    <t>Paresh Modi</t>
  </si>
  <si>
    <t>Deepak Parmar</t>
  </si>
  <si>
    <t>Hitesh Solanki</t>
  </si>
  <si>
    <t>Ajith Kumar</t>
  </si>
  <si>
    <t>Muthukumar S</t>
  </si>
  <si>
    <t>Kannan R</t>
  </si>
  <si>
    <t>Ramesh Naidu</t>
  </si>
  <si>
    <t>Prasad Rao</t>
  </si>
  <si>
    <t>Vinayak Deshpande</t>
  </si>
  <si>
    <t>Manjunath H</t>
  </si>
  <si>
    <t>Kiran Shetty</t>
  </si>
  <si>
    <t>Roshan Fernandes</t>
  </si>
  <si>
    <t>Delhi</t>
  </si>
  <si>
    <t>Noida</t>
  </si>
  <si>
    <t>Gurugram</t>
  </si>
  <si>
    <t>Chandigarh</t>
  </si>
  <si>
    <t>Ludhiana</t>
  </si>
  <si>
    <t>Jaipur</t>
  </si>
  <si>
    <t>Kota</t>
  </si>
  <si>
    <t>Udaipur</t>
  </si>
  <si>
    <t>Dehradun</t>
  </si>
  <si>
    <t>Meerut</t>
  </si>
  <si>
    <t>Mumbai</t>
  </si>
  <si>
    <t>Thane</t>
  </si>
  <si>
    <t>Ahmedabad</t>
  </si>
  <si>
    <t>Surat</t>
  </si>
  <si>
    <t>Vadodara</t>
  </si>
  <si>
    <t>Nashik</t>
  </si>
  <si>
    <t>Pune</t>
  </si>
  <si>
    <t>Kolhapur</t>
  </si>
  <si>
    <t>Indore</t>
  </si>
  <si>
    <t>Bhopal</t>
  </si>
  <si>
    <t>Hyderabad</t>
  </si>
  <si>
    <t>Bengaluru</t>
  </si>
  <si>
    <t>Mysuru</t>
  </si>
  <si>
    <t>Kochi</t>
  </si>
  <si>
    <t>Trivandrum</t>
  </si>
  <si>
    <t>Kozhikode</t>
  </si>
  <si>
    <t>Chennai</t>
  </si>
  <si>
    <t>Coimbatore</t>
  </si>
  <si>
    <t>Madurai</t>
  </si>
  <si>
    <t>Trichy</t>
  </si>
  <si>
    <t>Varanasi</t>
  </si>
  <si>
    <t>Prayagraj</t>
  </si>
  <si>
    <t>Patna</t>
  </si>
  <si>
    <t>Gaya</t>
  </si>
  <si>
    <t>Ranchi</t>
  </si>
  <si>
    <t>Dhanbad</t>
  </si>
  <si>
    <t>Howrah</t>
  </si>
  <si>
    <t>Siliguri</t>
  </si>
  <si>
    <t>Asansol</t>
  </si>
  <si>
    <t>Guwahati</t>
  </si>
  <si>
    <t>Panaji</t>
  </si>
  <si>
    <t>Margao</t>
  </si>
  <si>
    <t>Raipur</t>
  </si>
  <si>
    <t>Bilaspur</t>
  </si>
  <si>
    <t>Shimla</t>
  </si>
  <si>
    <t>Solan</t>
  </si>
  <si>
    <t>Jabalpur</t>
  </si>
  <si>
    <t>Ujjain</t>
  </si>
  <si>
    <t>Ratlam</t>
  </si>
  <si>
    <t>Aurangabad</t>
  </si>
  <si>
    <t>Jalgaon</t>
  </si>
  <si>
    <t>Nagpur</t>
  </si>
  <si>
    <t>Amravati</t>
  </si>
  <si>
    <t>Haridwar</t>
  </si>
  <si>
    <t>Rishikesh</t>
  </si>
  <si>
    <t>Rewa</t>
  </si>
  <si>
    <t>Satna</t>
  </si>
  <si>
    <t>Barrackpore</t>
  </si>
  <si>
    <t>Kharagpur</t>
  </si>
  <si>
    <t>Agartala</t>
  </si>
  <si>
    <t>Udaipur (Tripura)</t>
  </si>
  <si>
    <t>Thrissur</t>
  </si>
  <si>
    <t>Durgapur</t>
  </si>
  <si>
    <t>Faridabad</t>
  </si>
  <si>
    <t>Panipat</t>
  </si>
  <si>
    <t>Alwar</t>
  </si>
  <si>
    <t>Bhilwara</t>
  </si>
  <si>
    <t>Ajmer</t>
  </si>
  <si>
    <t>Rajkot</t>
  </si>
  <si>
    <t>Gandhinagar</t>
  </si>
  <si>
    <t>Vapi</t>
  </si>
  <si>
    <t>Bharuch</t>
  </si>
  <si>
    <t>Tirunelveli</t>
  </si>
  <si>
    <t>Erode</t>
  </si>
  <si>
    <t>Salem</t>
  </si>
  <si>
    <t>Vijayawada</t>
  </si>
  <si>
    <t>Guntur</t>
  </si>
  <si>
    <t>Hubli</t>
  </si>
  <si>
    <t>Davanagere</t>
  </si>
  <si>
    <t>Mangaluru</t>
  </si>
  <si>
    <t>Udupi</t>
  </si>
  <si>
    <t>Target Achieved%</t>
  </si>
  <si>
    <t>Target Not Achieved%</t>
  </si>
  <si>
    <t xml:space="preserve">Total Sales </t>
  </si>
  <si>
    <t xml:space="preserve">Target Achieved% </t>
  </si>
  <si>
    <t xml:space="preserve">Target Not Achieved%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</si>
</sst>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8"/>
      <name val="Calibri"/>
      <family val="2"/>
      <scheme val="minor"/>
    </font>
    <font>
      <sz val="11"/>
      <color theme="1" tint="4.9989318521683403E-2"/>
      <name val="Calibri"/>
      <family val="2"/>
      <scheme val="minor"/>
    </font>
    <font>
      <sz val="11"/>
      <color theme="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3"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2" fillId="2" borderId="0" xfId="0" applyFont="1" applyFill="1"/>
    <xf numFmtId="0" fontId="2" fillId="0" borderId="0" xfId="0" applyFont="1"/>
    <xf numFmtId="0" fontId="0" fillId="3" borderId="0" xfId="0" applyFill="1"/>
    <xf numFmtId="0" fontId="0" fillId="0" borderId="0" xfId="0" pivotButton="1"/>
    <xf numFmtId="0" fontId="0" fillId="0" borderId="0" xfId="0" applyAlignment="1">
      <alignment horizontal="left"/>
    </xf>
    <xf numFmtId="0" fontId="0" fillId="0" borderId="0" xfId="0" applyNumberFormat="1"/>
    <xf numFmtId="0" fontId="3" fillId="3" borderId="0" xfId="0" applyFont="1" applyFill="1"/>
    <xf numFmtId="0" fontId="0" fillId="0" borderId="0" xfId="0" applyAlignment="1">
      <alignment horizontal="left" indent="1"/>
    </xf>
  </cellXfs>
  <cellStyles count="1">
    <cellStyle name="Normal" xfId="0" builtinId="0"/>
  </cellStyles>
  <dxfs count="2">
    <dxf>
      <font>
        <b val="0"/>
        <i val="0"/>
        <strike val="0"/>
        <condense val="0"/>
        <extend val="0"/>
        <outline val="0"/>
        <shadow val="0"/>
        <u val="none"/>
        <vertAlign val="baseline"/>
        <sz val="11"/>
        <color theme="1" tint="4.9989318521683403E-2"/>
        <name val="Calibri"/>
        <family val="2"/>
        <scheme val="minor"/>
      </font>
      <fill>
        <patternFill patternType="solid">
          <fgColor indexed="64"/>
          <bgColor rgb="FFFFFF00"/>
        </patternFill>
      </fill>
    </dxf>
    <dxf>
      <fill>
        <patternFill>
          <bgColor theme="8" tint="-0.499984740745262"/>
        </patternFill>
      </fill>
    </dxf>
  </dxfs>
  <tableStyles count="1" defaultTableStyle="TableStyleMedium2" defaultPivotStyle="PivotStyleLight16">
    <tableStyle name="Slicer Style 1" pivot="0" table="0" count="5" xr9:uid="{626055CB-6DA4-4336-99E8-A5D023C271A1}">
      <tableStyleElement type="wholeTable" dxfId="1"/>
    </tableStyle>
  </tableStyles>
  <extLst>
    <ext xmlns:x14="http://schemas.microsoft.com/office/spreadsheetml/2009/9/main" uri="{46F421CA-312F-682f-3DD2-61675219B42D}">
      <x14:dxfs count="4">
        <dxf>
          <fill>
            <patternFill>
              <bgColor theme="9" tint="0.39994506668294322"/>
            </patternFill>
          </fill>
        </dxf>
        <dxf>
          <fill>
            <patternFill>
              <bgColor theme="4" tint="0.59996337778862885"/>
            </patternFill>
          </fill>
        </dxf>
        <dxf>
          <fill>
            <patternFill>
              <bgColor rgb="FFFFFF00"/>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 Dashboard using advanced excel.xlsm]Sale-Dashboard!PivotTable1</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3.7414976007010554E-2"/>
          <c:y val="6.4984140199464108E-2"/>
          <c:w val="0.60866720463527901"/>
          <c:h val="0.83280113100019348"/>
        </c:manualLayout>
      </c:layout>
      <c:pieChart>
        <c:varyColors val="1"/>
        <c:ser>
          <c:idx val="0"/>
          <c:order val="0"/>
          <c:tx>
            <c:strRef>
              <c:f>'Sale-Dashboard'!$B$3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A79-4D3F-B4CF-2F1577E1F6B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C90-4BBC-9E9E-1284358E820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C90-4BBC-9E9E-1284358E820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C90-4BBC-9E9E-1284358E820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C90-4BBC-9E9E-1284358E820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'Sale-Dashboard'!$A$4:$A$17</c:f>
              <c:multiLvlStrCache>
                <c:ptCount val="13"/>
                <c:lvl>
                  <c:pt idx="11">
                    <c:v>Mem. ID100</c:v>
                  </c:pt>
                  <c:pt idx="12">
                    <c:v>Mem. ID45</c:v>
                  </c:pt>
                </c:lvl>
                <c:lvl>
                  <c:pt idx="0">
                    <c:v>Iqbal Hussain</c:v>
                  </c:pt>
                  <c:pt idx="1">
                    <c:v>Kritika Bansal</c:v>
                  </c:pt>
                  <c:pt idx="2">
                    <c:v>Anirban Das</c:v>
                  </c:pt>
                  <c:pt idx="3">
                    <c:v>Piyush Goyal</c:v>
                  </c:pt>
                  <c:pt idx="4">
                    <c:v>Ankit Ghosh</c:v>
                  </c:pt>
                  <c:pt idx="5">
                    <c:v>Ramesh Iyer</c:v>
                  </c:pt>
                  <c:pt idx="6">
                    <c:v>Ajith Kumar</c:v>
                  </c:pt>
                  <c:pt idx="7">
                    <c:v>Anjali Menon</c:v>
                  </c:pt>
                  <c:pt idx="8">
                    <c:v>Bhavin Joshi</c:v>
                  </c:pt>
                  <c:pt idx="9">
                    <c:v>Tarun Arora</c:v>
                  </c:pt>
                  <c:pt idx="10">
                    <c:v>Sunil Yadav</c:v>
                  </c:pt>
                  <c:pt idx="11">
                    <c:v>Santosh Naik</c:v>
                  </c:pt>
                </c:lvl>
              </c:multiLvlStrCache>
            </c:multiLvlStrRef>
          </c:cat>
          <c:val>
            <c:numRef>
              <c:f>'Sale-Dashboard'!$B$4:$B$17</c:f>
              <c:numCache>
                <c:formatCode>General</c:formatCode>
                <c:ptCount val="13"/>
                <c:pt idx="0">
                  <c:v>475</c:v>
                </c:pt>
                <c:pt idx="1">
                  <c:v>475</c:v>
                </c:pt>
                <c:pt idx="2">
                  <c:v>475</c:v>
                </c:pt>
                <c:pt idx="3">
                  <c:v>475</c:v>
                </c:pt>
                <c:pt idx="4">
                  <c:v>475</c:v>
                </c:pt>
                <c:pt idx="5">
                  <c:v>475</c:v>
                </c:pt>
                <c:pt idx="6">
                  <c:v>475</c:v>
                </c:pt>
                <c:pt idx="7">
                  <c:v>475</c:v>
                </c:pt>
                <c:pt idx="8">
                  <c:v>475</c:v>
                </c:pt>
                <c:pt idx="9">
                  <c:v>475</c:v>
                </c:pt>
                <c:pt idx="10">
                  <c:v>475</c:v>
                </c:pt>
                <c:pt idx="11">
                  <c:v>362</c:v>
                </c:pt>
                <c:pt idx="12">
                  <c:v>385</c:v>
                </c:pt>
              </c:numCache>
            </c:numRef>
          </c:val>
          <c:extLst>
            <c:ext xmlns:c16="http://schemas.microsoft.com/office/drawing/2014/chart" uri="{C3380CC4-5D6E-409C-BE32-E72D297353CC}">
              <c16:uniqueId val="{00000003-5522-49AE-9781-B02196ACD553}"/>
            </c:ext>
          </c:extLst>
        </c:ser>
        <c:dLbls>
          <c:showLegendKey val="0"/>
          <c:showVal val="0"/>
          <c:showCatName val="0"/>
          <c:showSerName val="0"/>
          <c:showPercent val="0"/>
          <c:showBubbleSize val="0"/>
          <c:showLeaderLines val="1"/>
        </c:dLbls>
        <c:firstSliceAng val="0"/>
      </c:pieChart>
      <c:spPr>
        <a:solidFill>
          <a:schemeClr val="tx2">
            <a:lumMod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 Dashboard using advanced excel.xlsm]Sale-Dashboard!PivotTable2</c:name>
    <c:fmtId val="0"/>
  </c:pivotSource>
  <c:chart>
    <c:autoTitleDeleted val="1"/>
    <c:pivotFmts>
      <c:pivotFmt>
        <c:idx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928760341905756E-2"/>
          <c:y val="1.0675990790302843E-3"/>
          <c:w val="0.85229876913463087"/>
          <c:h val="0.78900153948630924"/>
        </c:manualLayout>
      </c:layout>
      <c:areaChart>
        <c:grouping val="standard"/>
        <c:varyColors val="0"/>
        <c:ser>
          <c:idx val="0"/>
          <c:order val="0"/>
          <c:tx>
            <c:strRef>
              <c:f>'Sale-Dashboard'!$E$3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'Sale-Dashboard'!$D$4:$D$13</c:f>
              <c:strCache>
                <c:ptCount val="10"/>
                <c:pt idx="0">
                  <c:v>Vinayak Deshpande</c:v>
                </c:pt>
                <c:pt idx="1">
                  <c:v>Kiran Shetty</c:v>
                </c:pt>
                <c:pt idx="2">
                  <c:v>Arjun Reddy</c:v>
                </c:pt>
                <c:pt idx="3">
                  <c:v>Jayesh Joshi</c:v>
                </c:pt>
                <c:pt idx="4">
                  <c:v>Ashutosh Rai</c:v>
                </c:pt>
                <c:pt idx="5">
                  <c:v>Manjunath H</c:v>
                </c:pt>
                <c:pt idx="6">
                  <c:v>Soumik Banerjee</c:v>
                </c:pt>
                <c:pt idx="7">
                  <c:v>Ramesh Naidu</c:v>
                </c:pt>
                <c:pt idx="8">
                  <c:v>Shalini Verma</c:v>
                </c:pt>
                <c:pt idx="9">
                  <c:v>Vivek Joshi</c:v>
                </c:pt>
              </c:strCache>
            </c:strRef>
          </c:cat>
          <c:val>
            <c:numRef>
              <c:f>'Sale-Dashboard'!$E$4:$E$13</c:f>
              <c:numCache>
                <c:formatCode>General</c:formatCode>
                <c:ptCount val="10"/>
                <c:pt idx="0">
                  <c:v>332</c:v>
                </c:pt>
                <c:pt idx="1">
                  <c:v>334</c:v>
                </c:pt>
                <c:pt idx="2">
                  <c:v>350</c:v>
                </c:pt>
                <c:pt idx="3">
                  <c:v>355</c:v>
                </c:pt>
                <c:pt idx="4">
                  <c:v>355</c:v>
                </c:pt>
                <c:pt idx="5">
                  <c:v>358</c:v>
                </c:pt>
                <c:pt idx="6">
                  <c:v>360</c:v>
                </c:pt>
                <c:pt idx="7">
                  <c:v>360</c:v>
                </c:pt>
                <c:pt idx="8">
                  <c:v>360</c:v>
                </c:pt>
                <c:pt idx="9">
                  <c:v>360</c:v>
                </c:pt>
              </c:numCache>
            </c:numRef>
          </c:val>
          <c:extLst>
            <c:ext xmlns:c16="http://schemas.microsoft.com/office/drawing/2014/chart" uri="{C3380CC4-5D6E-409C-BE32-E72D297353CC}">
              <c16:uniqueId val="{00000009-CE08-41A9-85F2-1882C4AF26C3}"/>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109416607"/>
        <c:axId val="2109414111"/>
      </c:areaChart>
      <c:catAx>
        <c:axId val="2109416607"/>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109414111"/>
        <c:crosses val="autoZero"/>
        <c:auto val="1"/>
        <c:lblAlgn val="ctr"/>
        <c:lblOffset val="100"/>
        <c:noMultiLvlLbl val="0"/>
      </c:catAx>
      <c:valAx>
        <c:axId val="2109414111"/>
        <c:scaling>
          <c:orientation val="minMax"/>
        </c:scaling>
        <c:delete val="1"/>
        <c:axPos val="l"/>
        <c:numFmt formatCode="General" sourceLinked="1"/>
        <c:majorTickMark val="out"/>
        <c:minorTickMark val="none"/>
        <c:tickLblPos val="nextTo"/>
        <c:crossAx val="210941660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 Dashboard using advanced excel.xlsm]Sale-Dashboard!PivotTable3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47531931145565"/>
          <c:y val="7.0465105070142697E-2"/>
          <c:w val="0.7363488626421697"/>
          <c:h val="0.78148950131233597"/>
        </c:manualLayout>
      </c:layout>
      <c:barChart>
        <c:barDir val="bar"/>
        <c:grouping val="clustered"/>
        <c:varyColors val="0"/>
        <c:ser>
          <c:idx val="0"/>
          <c:order val="0"/>
          <c:tx>
            <c:strRef>
              <c:f>'Sale-Dashboard'!$H$3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'Sale-Dashboard'!$G$4:$G$7</c:f>
              <c:strCache>
                <c:ptCount val="4"/>
                <c:pt idx="0">
                  <c:v>Anirban Das</c:v>
                </c:pt>
                <c:pt idx="1">
                  <c:v>Pooja Nair</c:v>
                </c:pt>
                <c:pt idx="2">
                  <c:v>Riya Das</c:v>
                </c:pt>
                <c:pt idx="3">
                  <c:v>Sandeep Yadav</c:v>
                </c:pt>
              </c:strCache>
            </c:strRef>
          </c:cat>
          <c:val>
            <c:numRef>
              <c:f>'Sale-Dashboard'!$H$4:$H$7</c:f>
              <c:numCache>
                <c:formatCode>General</c:formatCode>
                <c:ptCount val="4"/>
                <c:pt idx="0">
                  <c:v>95</c:v>
                </c:pt>
                <c:pt idx="1">
                  <c:v>78</c:v>
                </c:pt>
                <c:pt idx="2">
                  <c:v>92</c:v>
                </c:pt>
                <c:pt idx="3">
                  <c:v>72.599999999999994</c:v>
                </c:pt>
              </c:numCache>
            </c:numRef>
          </c:val>
          <c:extLst>
            <c:ext xmlns:c16="http://schemas.microsoft.com/office/drawing/2014/chart" uri="{C3380CC4-5D6E-409C-BE32-E72D297353CC}">
              <c16:uniqueId val="{00000009-2662-43FD-BA56-D86A9025070C}"/>
            </c:ext>
          </c:extLst>
        </c:ser>
        <c:dLbls>
          <c:showLegendKey val="0"/>
          <c:showVal val="0"/>
          <c:showCatName val="0"/>
          <c:showSerName val="0"/>
          <c:showPercent val="0"/>
          <c:showBubbleSize val="0"/>
        </c:dLbls>
        <c:gapWidth val="115"/>
        <c:overlap val="-20"/>
        <c:axId val="2104062479"/>
        <c:axId val="2104049583"/>
      </c:barChart>
      <c:catAx>
        <c:axId val="210406247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04049583"/>
        <c:crosses val="autoZero"/>
        <c:auto val="1"/>
        <c:lblAlgn val="ctr"/>
        <c:lblOffset val="100"/>
        <c:noMultiLvlLbl val="0"/>
      </c:catAx>
      <c:valAx>
        <c:axId val="21040495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04062479"/>
        <c:crosses val="autoZero"/>
        <c:crossBetween val="between"/>
      </c:valAx>
      <c:spPr>
        <a:solidFill>
          <a:schemeClr val="tx2">
            <a:lumMod val="7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 Dashboard using advanced excel.xlsm]Sale-Dashboard!PivotTable4</c:name>
    <c:fmtId val="1"/>
  </c:pivotSource>
  <c:chart>
    <c:autoTitleDeleted val="1"/>
    <c:pivotFmts>
      <c:pivotFmt>
        <c:idx val="0"/>
        <c:spPr>
          <a:ln w="28575" cap="rnd">
            <a:solidFill>
              <a:schemeClr val="accent1"/>
            </a:solidFill>
            <a:round/>
          </a:ln>
          <a:effectLst/>
        </c:spPr>
        <c:marker>
          <c:symbol val="circl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241891698959547E-2"/>
          <c:y val="5.5555555555555552E-2"/>
          <c:w val="0.87026565640190778"/>
          <c:h val="0.62098206474190731"/>
        </c:manualLayout>
      </c:layout>
      <c:lineChart>
        <c:grouping val="standard"/>
        <c:varyColors val="0"/>
        <c:ser>
          <c:idx val="0"/>
          <c:order val="0"/>
          <c:tx>
            <c:strRef>
              <c:f>'Sale-Dashboard'!$K$3</c:f>
              <c:strCache>
                <c:ptCount val="1"/>
                <c:pt idx="0">
                  <c:v>Total</c:v>
                </c:pt>
              </c:strCache>
            </c:strRef>
          </c:tx>
          <c:spPr>
            <a:ln w="28575" cap="rnd">
              <a:solidFill>
                <a:schemeClr val="accent1"/>
              </a:solidFill>
              <a:round/>
            </a:ln>
            <a:effectLst/>
          </c:spPr>
          <c:marker>
            <c:symbol val="circle"/>
            <c:size val="5"/>
            <c:spPr>
              <a:solidFill>
                <a:srgbClr val="00B0F0"/>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'Sale-Dashboard'!$J$4:$J$14</c:f>
              <c:strCache>
                <c:ptCount val="11"/>
                <c:pt idx="0">
                  <c:v>Arjun Reddy</c:v>
                </c:pt>
                <c:pt idx="1">
                  <c:v>Ashutosh Rai</c:v>
                </c:pt>
                <c:pt idx="2">
                  <c:v>Jayesh Joshi</c:v>
                </c:pt>
                <c:pt idx="3">
                  <c:v>Kiran Shetty</c:v>
                </c:pt>
                <c:pt idx="4">
                  <c:v>Manjunath H</c:v>
                </c:pt>
                <c:pt idx="5">
                  <c:v>Ramesh Naidu</c:v>
                </c:pt>
                <c:pt idx="6">
                  <c:v>Santosh Naik</c:v>
                </c:pt>
                <c:pt idx="7">
                  <c:v>Shalini Verma</c:v>
                </c:pt>
                <c:pt idx="8">
                  <c:v>Soumik Banerjee</c:v>
                </c:pt>
                <c:pt idx="9">
                  <c:v>Vinayak Deshpande</c:v>
                </c:pt>
                <c:pt idx="10">
                  <c:v>Vivek Joshi</c:v>
                </c:pt>
              </c:strCache>
            </c:strRef>
          </c:cat>
          <c:val>
            <c:numRef>
              <c:f>'Sale-Dashboard'!$K$4:$K$14</c:f>
              <c:numCache>
                <c:formatCode>General</c:formatCode>
                <c:ptCount val="11"/>
                <c:pt idx="0">
                  <c:v>30</c:v>
                </c:pt>
                <c:pt idx="1">
                  <c:v>29</c:v>
                </c:pt>
                <c:pt idx="2">
                  <c:v>29</c:v>
                </c:pt>
                <c:pt idx="3">
                  <c:v>33.200000000000003</c:v>
                </c:pt>
                <c:pt idx="4">
                  <c:v>28.400000000000006</c:v>
                </c:pt>
                <c:pt idx="5">
                  <c:v>28</c:v>
                </c:pt>
                <c:pt idx="6">
                  <c:v>50.599999999999994</c:v>
                </c:pt>
                <c:pt idx="7">
                  <c:v>28</c:v>
                </c:pt>
                <c:pt idx="8">
                  <c:v>28</c:v>
                </c:pt>
                <c:pt idx="9">
                  <c:v>33.599999999999994</c:v>
                </c:pt>
                <c:pt idx="10">
                  <c:v>28</c:v>
                </c:pt>
              </c:numCache>
            </c:numRef>
          </c:val>
          <c:smooth val="0"/>
          <c:extLst>
            <c:ext xmlns:c16="http://schemas.microsoft.com/office/drawing/2014/chart" uri="{C3380CC4-5D6E-409C-BE32-E72D297353CC}">
              <c16:uniqueId val="{00000009-114A-47E2-9E1D-0CB5A1B9395D}"/>
            </c:ext>
          </c:extLst>
        </c:ser>
        <c:dLbls>
          <c:showLegendKey val="0"/>
          <c:showVal val="0"/>
          <c:showCatName val="0"/>
          <c:showSerName val="0"/>
          <c:showPercent val="0"/>
          <c:showBubbleSize val="0"/>
        </c:dLbls>
        <c:marker val="1"/>
        <c:smooth val="0"/>
        <c:axId val="149897599"/>
        <c:axId val="149895103"/>
      </c:lineChart>
      <c:catAx>
        <c:axId val="14989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895103"/>
        <c:crosses val="autoZero"/>
        <c:auto val="1"/>
        <c:lblAlgn val="ctr"/>
        <c:lblOffset val="100"/>
        <c:noMultiLvlLbl val="0"/>
      </c:catAx>
      <c:valAx>
        <c:axId val="149895103"/>
        <c:scaling>
          <c:orientation val="minMax"/>
        </c:scaling>
        <c:delete val="0"/>
        <c:axPos val="l"/>
        <c:numFmt formatCode="General" sourceLinked="1"/>
        <c:majorTickMark val="none"/>
        <c:minorTickMark val="none"/>
        <c:tickLblPos val="nextTo"/>
        <c:spPr>
          <a:solidFill>
            <a:schemeClr val="tx2">
              <a:lumMod val="75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897599"/>
        <c:crosses val="autoZero"/>
        <c:crossBetween val="between"/>
      </c:valAx>
      <c:spPr>
        <a:solidFill>
          <a:schemeClr val="tx2">
            <a:lumMod val="7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18</xdr:row>
      <xdr:rowOff>171451</xdr:rowOff>
    </xdr:from>
    <xdr:to>
      <xdr:col>2</xdr:col>
      <xdr:colOff>0</xdr:colOff>
      <xdr:row>30</xdr:row>
      <xdr:rowOff>1</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214649</xdr:colOff>
      <xdr:row>14</xdr:row>
      <xdr:rowOff>67077</xdr:rowOff>
    </xdr:from>
    <xdr:to>
      <xdr:col>4</xdr:col>
      <xdr:colOff>1086655</xdr:colOff>
      <xdr:row>29</xdr:row>
      <xdr:rowOff>147570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225652</xdr:colOff>
      <xdr:row>16</xdr:row>
      <xdr:rowOff>90714</xdr:rowOff>
    </xdr:from>
    <xdr:to>
      <xdr:col>7</xdr:col>
      <xdr:colOff>1542142</xdr:colOff>
      <xdr:row>29</xdr:row>
      <xdr:rowOff>90715</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14757</xdr:colOff>
      <xdr:row>15</xdr:row>
      <xdr:rowOff>117521</xdr:rowOff>
    </xdr:from>
    <xdr:to>
      <xdr:col>10</xdr:col>
      <xdr:colOff>1837924</xdr:colOff>
      <xdr:row>30</xdr:row>
      <xdr:rowOff>43467</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49481</xdr:colOff>
      <xdr:row>0</xdr:row>
      <xdr:rowOff>61849</xdr:rowOff>
    </xdr:from>
    <xdr:to>
      <xdr:col>11</xdr:col>
      <xdr:colOff>37110</xdr:colOff>
      <xdr:row>1</xdr:row>
      <xdr:rowOff>49481</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9481" y="61849"/>
              <a:ext cx="13754577" cy="652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296883</xdr:colOff>
      <xdr:row>1</xdr:row>
      <xdr:rowOff>124452</xdr:rowOff>
    </xdr:from>
    <xdr:to>
      <xdr:col>0</xdr:col>
      <xdr:colOff>1482293</xdr:colOff>
      <xdr:row>1</xdr:row>
      <xdr:rowOff>543536</xdr:rowOff>
    </xdr:to>
    <xdr:sp macro="" textlink="">
      <xdr:nvSpPr>
        <xdr:cNvPr id="2" name="Speech Bubble: Rectangle with Corners Rounded 1">
          <a:extLst>
            <a:ext uri="{FF2B5EF4-FFF2-40B4-BE49-F238E27FC236}">
              <a16:creationId xmlns:a16="http://schemas.microsoft.com/office/drawing/2014/main" id="{00000000-0008-0000-0000-000002000000}"/>
            </a:ext>
          </a:extLst>
        </xdr:cNvPr>
        <xdr:cNvSpPr/>
      </xdr:nvSpPr>
      <xdr:spPr>
        <a:xfrm>
          <a:off x="296883" y="310004"/>
          <a:ext cx="1185410" cy="419084"/>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419100</xdr:colOff>
          <xdr:row>1</xdr:row>
          <xdr:rowOff>114300</xdr:rowOff>
        </xdr:from>
        <xdr:to>
          <xdr:col>0</xdr:col>
          <xdr:colOff>1485900</xdr:colOff>
          <xdr:row>1</xdr:row>
          <xdr:rowOff>523875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494806</xdr:colOff>
      <xdr:row>1</xdr:row>
      <xdr:rowOff>124452</xdr:rowOff>
    </xdr:from>
    <xdr:to>
      <xdr:col>3</xdr:col>
      <xdr:colOff>1680216</xdr:colOff>
      <xdr:row>1</xdr:row>
      <xdr:rowOff>543536</xdr:rowOff>
    </xdr:to>
    <xdr:sp macro="" textlink="">
      <xdr:nvSpPr>
        <xdr:cNvPr id="15" name="Speech Bubble: Rectangle with Corners Rounded 14">
          <a:extLst>
            <a:ext uri="{FF2B5EF4-FFF2-40B4-BE49-F238E27FC236}">
              <a16:creationId xmlns:a16="http://schemas.microsoft.com/office/drawing/2014/main" id="{00000000-0008-0000-0000-00000F000000}"/>
            </a:ext>
          </a:extLst>
        </xdr:cNvPr>
        <xdr:cNvSpPr/>
      </xdr:nvSpPr>
      <xdr:spPr>
        <a:xfrm>
          <a:off x="3574968" y="310004"/>
          <a:ext cx="1185410" cy="419084"/>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619125</xdr:colOff>
          <xdr:row>1</xdr:row>
          <xdr:rowOff>123825</xdr:rowOff>
        </xdr:from>
        <xdr:to>
          <xdr:col>3</xdr:col>
          <xdr:colOff>1685925</xdr:colOff>
          <xdr:row>1</xdr:row>
          <xdr:rowOff>533400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457695</xdr:colOff>
      <xdr:row>1</xdr:row>
      <xdr:rowOff>149192</xdr:rowOff>
    </xdr:from>
    <xdr:to>
      <xdr:col>6</xdr:col>
      <xdr:colOff>1643105</xdr:colOff>
      <xdr:row>1</xdr:row>
      <xdr:rowOff>568276</xdr:rowOff>
    </xdr:to>
    <xdr:sp macro="" textlink="">
      <xdr:nvSpPr>
        <xdr:cNvPr id="17" name="Speech Bubble: Rectangle with Corners Rounded 16">
          <a:extLst>
            <a:ext uri="{FF2B5EF4-FFF2-40B4-BE49-F238E27FC236}">
              <a16:creationId xmlns:a16="http://schemas.microsoft.com/office/drawing/2014/main" id="{00000000-0008-0000-0000-000011000000}"/>
            </a:ext>
          </a:extLst>
        </xdr:cNvPr>
        <xdr:cNvSpPr/>
      </xdr:nvSpPr>
      <xdr:spPr>
        <a:xfrm>
          <a:off x="7211786" y="334744"/>
          <a:ext cx="1185410" cy="419084"/>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581025</xdr:colOff>
          <xdr:row>1</xdr:row>
          <xdr:rowOff>152400</xdr:rowOff>
        </xdr:from>
        <xdr:to>
          <xdr:col>6</xdr:col>
          <xdr:colOff>1647825</xdr:colOff>
          <xdr:row>1</xdr:row>
          <xdr:rowOff>561975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346363</xdr:colOff>
      <xdr:row>1</xdr:row>
      <xdr:rowOff>136821</xdr:rowOff>
    </xdr:from>
    <xdr:to>
      <xdr:col>9</xdr:col>
      <xdr:colOff>1531773</xdr:colOff>
      <xdr:row>1</xdr:row>
      <xdr:rowOff>555905</xdr:rowOff>
    </xdr:to>
    <xdr:sp macro="" textlink="">
      <xdr:nvSpPr>
        <xdr:cNvPr id="21" name="Speech Bubble: Rectangle with Corners Rounded 20">
          <a:extLst>
            <a:ext uri="{FF2B5EF4-FFF2-40B4-BE49-F238E27FC236}">
              <a16:creationId xmlns:a16="http://schemas.microsoft.com/office/drawing/2014/main" id="{00000000-0008-0000-0000-000015000000}"/>
            </a:ext>
          </a:extLst>
        </xdr:cNvPr>
        <xdr:cNvSpPr/>
      </xdr:nvSpPr>
      <xdr:spPr>
        <a:xfrm>
          <a:off x="10601201" y="322373"/>
          <a:ext cx="1185410" cy="419084"/>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495300</xdr:colOff>
          <xdr:row>1</xdr:row>
          <xdr:rowOff>123825</xdr:rowOff>
        </xdr:from>
        <xdr:to>
          <xdr:col>9</xdr:col>
          <xdr:colOff>1562100</xdr:colOff>
          <xdr:row>1</xdr:row>
          <xdr:rowOff>533400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ini" refreshedDate="46017.062720138892" createdVersion="7" refreshedVersion="7" minRefreshableVersion="3" recordCount="100" xr:uid="{D135DBCD-2141-4455-9D07-EC0770250E82}">
  <cacheSource type="worksheet">
    <worksheetSource name="Table2"/>
  </cacheSource>
  <cacheFields count="12">
    <cacheField name="Emp Code" numFmtId="0">
      <sharedItems count="100">
        <s v="Mem. ID65"/>
        <s v="Mem. ID13"/>
        <s v="Mem. ID85"/>
        <s v="Mem. ID83"/>
        <s v="Mem. ID58"/>
        <s v="Mem. ID42"/>
        <s v="Mem. ID55"/>
        <s v="Mem. ID63"/>
        <s v="Mem. ID67"/>
        <s v="Mem. ID22"/>
        <s v="Mem. ID90"/>
        <s v="Mem. ID84"/>
        <s v="Mem. ID51"/>
        <s v="Mem. ID20"/>
        <s v="Mem. ID48"/>
        <s v="Mem. ID04"/>
        <s v="Mem. ID27"/>
        <s v="Mem. ID68"/>
        <s v="Mem. ID28"/>
        <s v="Mem. ID97"/>
        <s v="Mem. ID09"/>
        <s v="Mem. ID74"/>
        <s v="Mem. ID01"/>
        <s v="Mem. ID38"/>
        <s v="Mem. ID79"/>
        <s v="Mem. ID92"/>
        <s v="Mem. ID81"/>
        <s v="Mem. ID88"/>
        <s v="Mem. ID36"/>
        <s v="Mem. ID95"/>
        <s v="Mem. ID03"/>
        <s v="Mem. ID43"/>
        <s v="Mem. ID59"/>
        <s v="Mem. ID40"/>
        <s v="Mem. ID96"/>
        <s v="Mem. ID21"/>
        <s v="Mem. ID19"/>
        <s v="Mem. ID72"/>
        <s v="Mem. ID52"/>
        <s v="Mem. ID73"/>
        <s v="Mem. ID06"/>
        <s v="Mem. ID56"/>
        <s v="Mem. ID44"/>
        <s v="Mem. ID87"/>
        <s v="Mem. ID32"/>
        <s v="Mem. ID100"/>
        <s v="Mem. ID64"/>
        <s v="Mem. ID24"/>
        <s v="Mem. ID69"/>
        <s v="Mem. ID18"/>
        <s v="Mem. ID78"/>
        <s v="Mem. ID39"/>
        <s v="Mem. ID07"/>
        <s v="Mem. ID26"/>
        <s v="Mem. ID31"/>
        <s v="Mem. ID05"/>
        <s v="Mem. ID29"/>
        <s v="Mem. ID98"/>
        <s v="Mem. ID46"/>
        <s v="Mem. ID10"/>
        <s v="Mem. ID11"/>
        <s v="Mem. ID23"/>
        <s v="Mem. ID57"/>
        <s v="Mem. ID16"/>
        <s v="Mem. ID02"/>
        <s v="Mem. ID80"/>
        <s v="Mem. ID45"/>
        <s v="Mem. ID82"/>
        <s v="Mem. ID76"/>
        <s v="Mem. ID35"/>
        <s v="Mem. ID34"/>
        <s v="Mem. ID75"/>
        <s v="Mem. ID71"/>
        <s v="Mem. ID17"/>
        <s v="Mem. ID47"/>
        <s v="Mem. ID86"/>
        <s v="Mem. ID77"/>
        <s v="Mem. ID37"/>
        <s v="Mem. ID54"/>
        <s v="Mem. ID61"/>
        <s v="Mem. ID60"/>
        <s v="Mem. ID93"/>
        <s v="Mem. ID62"/>
        <s v="Mem. ID49"/>
        <s v="Mem. ID41"/>
        <s v="Mem. ID50"/>
        <s v="Mem. ID14"/>
        <s v="Mem. ID12"/>
        <s v="Mem. ID70"/>
        <s v="Mem. ID91"/>
        <s v="Mem. ID30"/>
        <s v="Mem. ID25"/>
        <s v="Mem. ID08"/>
        <s v="Mem. ID66"/>
        <s v="Mem. ID99"/>
        <s v="Mem. ID53"/>
        <s v="Mem. ID15"/>
        <s v="Mem. ID89"/>
        <s v="Mem. ID33"/>
        <s v="Mem. ID94"/>
      </sharedItems>
    </cacheField>
    <cacheField name="Sales Executive" numFmtId="0">
      <sharedItems count="99">
        <s v="Debashis Roy"/>
        <s v="Pratik Patel"/>
        <s v="Lokesh Meena"/>
        <s v="Keshav Gaur"/>
        <s v="Nikhil Jain"/>
        <s v="Kalyan Paul"/>
        <s v="Tejas Kulkarni"/>
        <s v="Tushar Chatterjee"/>
        <s v="Nandini Rao"/>
        <s v="Karthik Rao"/>
        <s v="Hitesh Solanki"/>
        <s v="Mahesh Prajapati"/>
        <s v="Sameer Khan"/>
        <s v="Manish Chouhan"/>
        <s v="Dinesh Patel"/>
        <s v="Pankaj Singh"/>
        <s v="Raghav Iyer"/>
        <s v="Kavya Iyer"/>
        <s v="Dinesh Kumar"/>
        <s v="Manjunath H"/>
        <s v="Nitin Bansal"/>
        <s v="Kritika Bansal"/>
        <s v="Amit Sharma"/>
        <s v="Manoj Sinha"/>
        <s v="Priya Sen"/>
        <s v="Muthukumar S"/>
        <s v="Tarun Arora"/>
        <s v="Paresh Modi"/>
        <s v="Rakesh Kumar"/>
        <s v="Prasad Rao"/>
        <s v="Ankit Gupta"/>
        <s v="Ranjit Das"/>
        <s v="Hemant Rawat"/>
        <s v="Soumik Banerjee"/>
        <s v="Vinayak Deshpande"/>
        <s v="Arjun Reddy"/>
        <s v="Saurabh Jain"/>
        <s v="Ritu Jain"/>
        <s v="Farhan Ali"/>
        <s v="Neha Agarwal"/>
        <s v="Neeraj Kumar"/>
        <s v="Omkar Joshi"/>
        <s v="Bikash Saikia"/>
        <s v="Bhavin Joshi"/>
        <s v="Prakash Tiwari"/>
        <s v="Santosh Naik"/>
        <s v="Ankit Ghosh"/>
        <s v="Praveen Nair"/>
        <s v="Pooja Nair"/>
        <s v="Swapnil More"/>
        <s v="Riya Das"/>
        <s v="Anirban Das"/>
        <s v="Sandeep Yadav"/>
        <s v="Vinod Pillai"/>
        <s v="Abhishek Mishra"/>
        <s v="Rohit Malhotra"/>
        <s v="Sanjay Raj"/>
        <s v="Kiran Shetty"/>
        <s v="Pramod Sawant"/>
        <s v="Mohit Aggarwal"/>
        <s v="Ramesh Iyer"/>
        <s v="Naveen Kumar"/>
        <s v="Piyush Goyal"/>
        <s v="Nilesh Patil"/>
        <s v="Rahul Verma"/>
        <s v="Meenal Gupta"/>
        <s v="Yash Mittal"/>
        <s v="Pallavi Sinha"/>
        <s v="Deepak Singh"/>
        <s v="Ashutosh Rai"/>
        <s v="Aishwarya Mishra"/>
        <s v="Sneha Kulkarni"/>
        <s v="Akash Kulkarni"/>
        <s v="Sunil Yadav"/>
        <s v="Chirag Parmar"/>
        <s v="Shalini Verma"/>
        <s v="Alok Verma"/>
        <s v="Arvind Soni"/>
        <s v="Satyam Tripathi"/>
        <s v="Vivek Joshi"/>
        <s v="Kannan R"/>
        <s v="Rajeev Shukla"/>
        <s v="Kapil Thakur"/>
        <s v="Subhash Chandra"/>
        <s v="Ajay Negi"/>
        <s v="Hardik Desai"/>
        <s v="Kunal Shah"/>
        <s v="Anjali Menon"/>
        <s v="Ajith Kumar"/>
        <s v="Balaji Srinivasan"/>
        <s v="Suresh Menon"/>
        <s v="Vikas Mehta"/>
        <s v="Prasenjit Deb"/>
        <s v="Roshan Fernandes"/>
        <s v="Iqbal Hussain"/>
        <s v="Jayesh Joshi"/>
        <s v="Deepak Parmar"/>
        <s v="Shubham Pandey"/>
        <s v="Ramesh Naidu"/>
      </sharedItems>
    </cacheField>
    <cacheField name="Region" numFmtId="0">
      <sharedItems count="87">
        <s v="Agartala"/>
        <s v="Ahmedabad"/>
        <s v="Ajmer"/>
        <s v="Alwar"/>
        <s v="Amravati"/>
        <s v="Asansol"/>
        <s v="Aurangabad"/>
        <s v="Barrackpore"/>
        <s v="Bengaluru"/>
        <s v="Bharuch"/>
        <s v="Bhilwara"/>
        <s v="Bhopal"/>
        <s v="Bilaspur"/>
        <s v="Chandigarh"/>
        <s v="Chennai"/>
        <s v="Coimbatore"/>
        <s v="Davanagere"/>
        <s v="Dehradun"/>
        <s v="Delhi"/>
        <s v="Dhanbad"/>
        <s v="Durgapur"/>
        <s v="Erode"/>
        <s v="Faridabad"/>
        <s v="Gandhinagar"/>
        <s v="Gaya"/>
        <s v="Guntur"/>
        <s v="Gurugram"/>
        <s v="Guwahati"/>
        <s v="Haridwar"/>
        <s v="Howrah"/>
        <s v="Hubli"/>
        <s v="Hyderabad"/>
        <s v="Indore"/>
        <s v="Jabalpur"/>
        <s v="Jaipur"/>
        <s v="Jalgaon"/>
        <s v="Kharagpur"/>
        <s v="Kochi"/>
        <s v="Kota"/>
        <s v="Kolhapur"/>
        <s v="Kozhikode"/>
        <s v="Madurai"/>
        <s v="Ludhiana"/>
        <s v="Mangaluru"/>
        <s v="Margao"/>
        <s v="Meerut"/>
        <s v="Mumbai"/>
        <s v="Mysuru"/>
        <s v="Nagpur"/>
        <s v="Nashik"/>
        <s v="Noida"/>
        <s v="Panaji"/>
        <s v="Panipat"/>
        <s v="Patna"/>
        <s v="Prayagraj"/>
        <s v="Pune"/>
        <s v="Raipur"/>
        <s v="Rajkot"/>
        <s v="Ranchi"/>
        <s v="Ratlam"/>
        <s v="Rewa"/>
        <s v="Rishikesh"/>
        <s v="Salem"/>
        <s v="Satna"/>
        <s v="Shimla"/>
        <s v="Siliguri"/>
        <s v="Solan"/>
        <s v="Surat"/>
        <s v="Thane"/>
        <s v="Thrissur"/>
        <s v="Tirunelveli"/>
        <s v="Trichy"/>
        <s v="Trivandrum"/>
        <s v="Udaipur"/>
        <s v="Udaipur (Tripura)"/>
        <s v="Udupi"/>
        <s v="Ujjain"/>
        <s v="Vadodara"/>
        <s v="Vapi"/>
        <s v="Varanasi"/>
        <s v="Vijayawada"/>
        <s v="Lucknow" u="1"/>
        <s v="Jorhat" u="1"/>
        <s v="Kanpur" u="1"/>
        <s v="Karwar" u="1"/>
        <s v="Kolkata" u="1"/>
        <s v="Junagadh" u="1"/>
      </sharedItems>
    </cacheField>
    <cacheField name="Day 1" numFmtId="0">
      <sharedItems containsSemiMixedTypes="0" containsString="0" containsNumber="1" containsInteger="1" minValue="45" maxValue="96"/>
    </cacheField>
    <cacheField name="Day 2" numFmtId="0">
      <sharedItems containsSemiMixedTypes="0" containsString="0" containsNumber="1" containsInteger="1" minValue="56" maxValue="97"/>
    </cacheField>
    <cacheField name="Day 3" numFmtId="0">
      <sharedItems containsSemiMixedTypes="0" containsString="0" containsNumber="1" containsInteger="1" minValue="49" maxValue="97"/>
    </cacheField>
    <cacheField name="Day 4" numFmtId="0">
      <sharedItems containsSemiMixedTypes="0" containsString="0" containsNumber="1" containsInteger="1" minValue="38" maxValue="97"/>
    </cacheField>
    <cacheField name="Day 5" numFmtId="0">
      <sharedItems containsSemiMixedTypes="0" containsString="0" containsNumber="1" containsInteger="1" minValue="56" maxValue="98"/>
    </cacheField>
    <cacheField name="Total Sales" numFmtId="0">
      <sharedItems containsSemiMixedTypes="0" containsString="0" containsNumber="1" containsInteger="1" minValue="332" maxValue="475"/>
    </cacheField>
    <cacheField name="Target" numFmtId="0">
      <sharedItems containsSemiMixedTypes="0" containsString="0" containsNumber="1" containsInteger="1" minValue="500" maxValue="500"/>
    </cacheField>
    <cacheField name="Target Achieved%" numFmtId="0">
      <sharedItems containsSemiMixedTypes="0" containsString="0" containsNumber="1" minValue="66.400000000000006" maxValue="95"/>
    </cacheField>
    <cacheField name="Target Not Achieved%" numFmtId="0">
      <sharedItems containsSemiMixedTypes="0" containsString="0" containsNumber="1" minValue="5" maxValue="33.599999999999994"/>
    </cacheField>
  </cacheFields>
  <extLst>
    <ext xmlns:x14="http://schemas.microsoft.com/office/spreadsheetml/2009/9/main" uri="{725AE2AE-9491-48be-B2B4-4EB974FC3084}">
      <x14:pivotCacheDefinition pivotCacheId="14747636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n v="81"/>
    <n v="83"/>
    <n v="82"/>
    <n v="84"/>
    <n v="80"/>
    <n v="410"/>
    <n v="500"/>
    <n v="82"/>
    <n v="18"/>
  </r>
  <r>
    <x v="1"/>
    <x v="1"/>
    <x v="1"/>
    <n v="76"/>
    <n v="79"/>
    <n v="74"/>
    <n v="78"/>
    <n v="80"/>
    <n v="387"/>
    <n v="500"/>
    <n v="77.400000000000006"/>
    <n v="22.599999999999994"/>
  </r>
  <r>
    <x v="2"/>
    <x v="2"/>
    <x v="2"/>
    <n v="85"/>
    <n v="87"/>
    <n v="84"/>
    <n v="86"/>
    <n v="88"/>
    <n v="430"/>
    <n v="500"/>
    <n v="86"/>
    <n v="14"/>
  </r>
  <r>
    <x v="3"/>
    <x v="3"/>
    <x v="3"/>
    <n v="74"/>
    <n v="72"/>
    <n v="75"/>
    <n v="73"/>
    <n v="71"/>
    <n v="365"/>
    <n v="500"/>
    <n v="73"/>
    <n v="27"/>
  </r>
  <r>
    <x v="4"/>
    <x v="4"/>
    <x v="4"/>
    <n v="78"/>
    <n v="80"/>
    <n v="77"/>
    <n v="79"/>
    <n v="81"/>
    <n v="395"/>
    <n v="500"/>
    <n v="79"/>
    <n v="21"/>
  </r>
  <r>
    <x v="5"/>
    <x v="5"/>
    <x v="5"/>
    <n v="79"/>
    <n v="81"/>
    <n v="78"/>
    <n v="80"/>
    <n v="82"/>
    <n v="400"/>
    <n v="500"/>
    <n v="80"/>
    <n v="20"/>
  </r>
  <r>
    <x v="6"/>
    <x v="6"/>
    <x v="6"/>
    <n v="73"/>
    <n v="75"/>
    <n v="72"/>
    <n v="74"/>
    <n v="76"/>
    <n v="370"/>
    <n v="500"/>
    <n v="74"/>
    <n v="26"/>
  </r>
  <r>
    <x v="7"/>
    <x v="7"/>
    <x v="7"/>
    <n v="88"/>
    <n v="86"/>
    <n v="89"/>
    <n v="87"/>
    <n v="85"/>
    <n v="435"/>
    <n v="500"/>
    <n v="87"/>
    <n v="13"/>
  </r>
  <r>
    <x v="8"/>
    <x v="8"/>
    <x v="8"/>
    <n v="90"/>
    <n v="92"/>
    <n v="91"/>
    <n v="93"/>
    <n v="89"/>
    <n v="455"/>
    <n v="500"/>
    <n v="91"/>
    <n v="9"/>
  </r>
  <r>
    <x v="9"/>
    <x v="9"/>
    <x v="8"/>
    <n v="85"/>
    <n v="88"/>
    <n v="84"/>
    <n v="87"/>
    <n v="86"/>
    <n v="430"/>
    <n v="500"/>
    <n v="86"/>
    <n v="14"/>
  </r>
  <r>
    <x v="10"/>
    <x v="10"/>
    <x v="9"/>
    <n v="89"/>
    <n v="91"/>
    <n v="88"/>
    <n v="90"/>
    <n v="92"/>
    <n v="450"/>
    <n v="500"/>
    <n v="90"/>
    <n v="10"/>
  </r>
  <r>
    <x v="11"/>
    <x v="11"/>
    <x v="10"/>
    <n v="90"/>
    <n v="92"/>
    <n v="91"/>
    <n v="93"/>
    <n v="89"/>
    <n v="455"/>
    <n v="500"/>
    <n v="91"/>
    <n v="9"/>
  </r>
  <r>
    <x v="12"/>
    <x v="12"/>
    <x v="11"/>
    <n v="87"/>
    <n v="85"/>
    <n v="88"/>
    <n v="86"/>
    <n v="84"/>
    <n v="430"/>
    <n v="500"/>
    <n v="86"/>
    <n v="14"/>
  </r>
  <r>
    <x v="13"/>
    <x v="13"/>
    <x v="11"/>
    <n v="93"/>
    <n v="95"/>
    <n v="91"/>
    <n v="94"/>
    <n v="92"/>
    <n v="465"/>
    <n v="500"/>
    <n v="93"/>
    <n v="7"/>
  </r>
  <r>
    <x v="14"/>
    <x v="14"/>
    <x v="12"/>
    <n v="81"/>
    <n v="83"/>
    <n v="82"/>
    <n v="84"/>
    <n v="80"/>
    <n v="410"/>
    <n v="500"/>
    <n v="82"/>
    <n v="18"/>
  </r>
  <r>
    <x v="15"/>
    <x v="15"/>
    <x v="13"/>
    <n v="68"/>
    <n v="72"/>
    <n v="80"/>
    <n v="75"/>
    <n v="78"/>
    <n v="373"/>
    <n v="500"/>
    <n v="74.599999999999994"/>
    <n v="25.400000000000006"/>
  </r>
  <r>
    <x v="16"/>
    <x v="16"/>
    <x v="14"/>
    <n v="94"/>
    <n v="96"/>
    <n v="95"/>
    <n v="93"/>
    <n v="92"/>
    <n v="470"/>
    <n v="500"/>
    <n v="94"/>
    <n v="6"/>
  </r>
  <r>
    <x v="17"/>
    <x v="17"/>
    <x v="14"/>
    <n v="85"/>
    <n v="87"/>
    <n v="84"/>
    <n v="86"/>
    <n v="88"/>
    <n v="430"/>
    <n v="500"/>
    <n v="86"/>
    <n v="14"/>
  </r>
  <r>
    <x v="18"/>
    <x v="18"/>
    <x v="15"/>
    <n v="81"/>
    <n v="79"/>
    <n v="82"/>
    <n v="80"/>
    <n v="83"/>
    <n v="405"/>
    <n v="500"/>
    <n v="81"/>
    <n v="19"/>
  </r>
  <r>
    <x v="19"/>
    <x v="19"/>
    <x v="16"/>
    <n v="45"/>
    <n v="88"/>
    <n v="49"/>
    <n v="78"/>
    <n v="98"/>
    <n v="358"/>
    <n v="500"/>
    <n v="71.599999999999994"/>
    <n v="28.400000000000006"/>
  </r>
  <r>
    <x v="20"/>
    <x v="20"/>
    <x v="17"/>
    <n v="86"/>
    <n v="81"/>
    <n v="79"/>
    <n v="83"/>
    <n v="85"/>
    <n v="414"/>
    <n v="500"/>
    <n v="82.8"/>
    <n v="17.200000000000003"/>
  </r>
  <r>
    <x v="21"/>
    <x v="21"/>
    <x v="18"/>
    <n v="96"/>
    <n v="94"/>
    <n v="97"/>
    <n v="95"/>
    <n v="93"/>
    <n v="475"/>
    <n v="500"/>
    <n v="95"/>
    <n v="5"/>
  </r>
  <r>
    <x v="22"/>
    <x v="22"/>
    <x v="18"/>
    <n v="89"/>
    <n v="76"/>
    <n v="92"/>
    <n v="81"/>
    <n v="88"/>
    <n v="426"/>
    <n v="500"/>
    <n v="85.2"/>
    <n v="14.799999999999997"/>
  </r>
  <r>
    <x v="23"/>
    <x v="23"/>
    <x v="19"/>
    <n v="82"/>
    <n v="84"/>
    <n v="85"/>
    <n v="83"/>
    <n v="81"/>
    <n v="415"/>
    <n v="500"/>
    <n v="83"/>
    <n v="17"/>
  </r>
  <r>
    <x v="24"/>
    <x v="24"/>
    <x v="20"/>
    <n v="76"/>
    <n v="78"/>
    <n v="75"/>
    <n v="77"/>
    <n v="79"/>
    <n v="385"/>
    <n v="500"/>
    <n v="77"/>
    <n v="23"/>
  </r>
  <r>
    <x v="25"/>
    <x v="25"/>
    <x v="21"/>
    <n v="78"/>
    <n v="80"/>
    <n v="77"/>
    <n v="79"/>
    <n v="81"/>
    <n v="395"/>
    <n v="500"/>
    <n v="79"/>
    <n v="21"/>
  </r>
  <r>
    <x v="26"/>
    <x v="26"/>
    <x v="22"/>
    <n v="94"/>
    <n v="96"/>
    <n v="95"/>
    <n v="97"/>
    <n v="93"/>
    <n v="475"/>
    <n v="500"/>
    <n v="95"/>
    <n v="5"/>
  </r>
  <r>
    <x v="27"/>
    <x v="27"/>
    <x v="23"/>
    <n v="82"/>
    <n v="84"/>
    <n v="81"/>
    <n v="83"/>
    <n v="85"/>
    <n v="415"/>
    <n v="500"/>
    <n v="83"/>
    <n v="17"/>
  </r>
  <r>
    <x v="28"/>
    <x v="28"/>
    <x v="24"/>
    <n v="75"/>
    <n v="74"/>
    <n v="78"/>
    <n v="76"/>
    <n v="77"/>
    <n v="380"/>
    <n v="500"/>
    <n v="76"/>
    <n v="24"/>
  </r>
  <r>
    <x v="29"/>
    <x v="29"/>
    <x v="25"/>
    <n v="92"/>
    <n v="90"/>
    <n v="93"/>
    <n v="91"/>
    <n v="94"/>
    <n v="460"/>
    <n v="500"/>
    <n v="92"/>
    <n v="8"/>
  </r>
  <r>
    <x v="30"/>
    <x v="30"/>
    <x v="26"/>
    <n v="91"/>
    <n v="88"/>
    <n v="84"/>
    <n v="77"/>
    <n v="95"/>
    <n v="435"/>
    <n v="500"/>
    <n v="87"/>
    <n v="13"/>
  </r>
  <r>
    <x v="31"/>
    <x v="31"/>
    <x v="27"/>
    <n v="85"/>
    <n v="83"/>
    <n v="86"/>
    <n v="84"/>
    <n v="87"/>
    <n v="425"/>
    <n v="500"/>
    <n v="85"/>
    <n v="15"/>
  </r>
  <r>
    <x v="32"/>
    <x v="32"/>
    <x v="28"/>
    <n v="86"/>
    <n v="84"/>
    <n v="87"/>
    <n v="85"/>
    <n v="83"/>
    <n v="425"/>
    <n v="500"/>
    <n v="85"/>
    <n v="15"/>
  </r>
  <r>
    <x v="33"/>
    <x v="33"/>
    <x v="29"/>
    <n v="71"/>
    <n v="73"/>
    <n v="70"/>
    <n v="72"/>
    <n v="74"/>
    <n v="360"/>
    <n v="500"/>
    <n v="72"/>
    <n v="28"/>
  </r>
  <r>
    <x v="34"/>
    <x v="34"/>
    <x v="30"/>
    <n v="75"/>
    <n v="56"/>
    <n v="67"/>
    <n v="45"/>
    <n v="89"/>
    <n v="332"/>
    <n v="500"/>
    <n v="66.400000000000006"/>
    <n v="33.599999999999994"/>
  </r>
  <r>
    <x v="35"/>
    <x v="35"/>
    <x v="31"/>
    <n v="72"/>
    <n v="70"/>
    <n v="68"/>
    <n v="71"/>
    <n v="69"/>
    <n v="350"/>
    <n v="500"/>
    <n v="70"/>
    <n v="30"/>
  </r>
  <r>
    <x v="36"/>
    <x v="36"/>
    <x v="32"/>
    <n v="89"/>
    <n v="87"/>
    <n v="86"/>
    <n v="90"/>
    <n v="88"/>
    <n v="440"/>
    <n v="500"/>
    <n v="88"/>
    <n v="12"/>
  </r>
  <r>
    <x v="37"/>
    <x v="37"/>
    <x v="32"/>
    <n v="73"/>
    <n v="75"/>
    <n v="72"/>
    <n v="74"/>
    <n v="76"/>
    <n v="370"/>
    <n v="500"/>
    <n v="74"/>
    <n v="26"/>
  </r>
  <r>
    <x v="38"/>
    <x v="38"/>
    <x v="33"/>
    <n v="79"/>
    <n v="77"/>
    <n v="80"/>
    <n v="78"/>
    <n v="76"/>
    <n v="390"/>
    <n v="500"/>
    <n v="78"/>
    <n v="22"/>
  </r>
  <r>
    <x v="39"/>
    <x v="39"/>
    <x v="34"/>
    <n v="89"/>
    <n v="91"/>
    <n v="88"/>
    <n v="90"/>
    <n v="92"/>
    <n v="450"/>
    <n v="500"/>
    <n v="90"/>
    <n v="10"/>
  </r>
  <r>
    <x v="40"/>
    <x v="40"/>
    <x v="34"/>
    <n v="82"/>
    <n v="77"/>
    <n v="85"/>
    <n v="88"/>
    <n v="84"/>
    <n v="416"/>
    <n v="500"/>
    <n v="83.2"/>
    <n v="16.799999999999997"/>
  </r>
  <r>
    <x v="41"/>
    <x v="41"/>
    <x v="35"/>
    <n v="89"/>
    <n v="91"/>
    <n v="88"/>
    <n v="90"/>
    <n v="92"/>
    <n v="450"/>
    <n v="500"/>
    <n v="90"/>
    <n v="10"/>
  </r>
  <r>
    <x v="42"/>
    <x v="42"/>
    <x v="35"/>
    <n v="92"/>
    <n v="94"/>
    <n v="93"/>
    <n v="95"/>
    <n v="91"/>
    <n v="465"/>
    <n v="500"/>
    <n v="93"/>
    <n v="7"/>
  </r>
  <r>
    <x v="43"/>
    <x v="43"/>
    <x v="35"/>
    <n v="95"/>
    <n v="93"/>
    <n v="96"/>
    <n v="94"/>
    <n v="97"/>
    <n v="475"/>
    <n v="500"/>
    <n v="95"/>
    <n v="5"/>
  </r>
  <r>
    <x v="44"/>
    <x v="44"/>
    <x v="35"/>
    <n v="78"/>
    <n v="80"/>
    <n v="77"/>
    <n v="79"/>
    <n v="81"/>
    <n v="395"/>
    <n v="500"/>
    <n v="79"/>
    <n v="21"/>
  </r>
  <r>
    <x v="45"/>
    <x v="45"/>
    <x v="35"/>
    <n v="56"/>
    <n v="58"/>
    <n v="93"/>
    <n v="74"/>
    <n v="81"/>
    <n v="362"/>
    <n v="500"/>
    <n v="72.400000000000006"/>
    <n v="27.599999999999994"/>
  </r>
  <r>
    <x v="46"/>
    <x v="46"/>
    <x v="36"/>
    <n v="94"/>
    <n v="96"/>
    <n v="95"/>
    <n v="97"/>
    <n v="93"/>
    <n v="475"/>
    <n v="500"/>
    <n v="95"/>
    <n v="5"/>
  </r>
  <r>
    <x v="47"/>
    <x v="47"/>
    <x v="37"/>
    <n v="90"/>
    <n v="92"/>
    <n v="94"/>
    <n v="91"/>
    <n v="93"/>
    <n v="460"/>
    <n v="500"/>
    <n v="92"/>
    <n v="8"/>
  </r>
  <r>
    <x v="48"/>
    <x v="48"/>
    <x v="38"/>
    <n v="79"/>
    <n v="77"/>
    <n v="80"/>
    <n v="78"/>
    <n v="76"/>
    <n v="390"/>
    <n v="500"/>
    <n v="78"/>
    <n v="22"/>
  </r>
  <r>
    <x v="49"/>
    <x v="49"/>
    <x v="39"/>
    <n v="77"/>
    <n v="74"/>
    <n v="76"/>
    <n v="75"/>
    <n v="78"/>
    <n v="380"/>
    <n v="500"/>
    <n v="76"/>
    <n v="24"/>
  </r>
  <r>
    <x v="50"/>
    <x v="50"/>
    <x v="38"/>
    <n v="92"/>
    <n v="90"/>
    <n v="93"/>
    <n v="91"/>
    <n v="94"/>
    <n v="460"/>
    <n v="500"/>
    <n v="92"/>
    <n v="8"/>
  </r>
  <r>
    <x v="51"/>
    <x v="51"/>
    <x v="38"/>
    <n v="96"/>
    <n v="94"/>
    <n v="97"/>
    <n v="95"/>
    <n v="93"/>
    <n v="475"/>
    <n v="500"/>
    <n v="95"/>
    <n v="5"/>
  </r>
  <r>
    <x v="52"/>
    <x v="52"/>
    <x v="38"/>
    <n v="73"/>
    <n v="69"/>
    <n v="76"/>
    <n v="71"/>
    <n v="74"/>
    <n v="363"/>
    <n v="500"/>
    <n v="72.599999999999994"/>
    <n v="27.400000000000006"/>
  </r>
  <r>
    <x v="53"/>
    <x v="53"/>
    <x v="40"/>
    <n v="88"/>
    <n v="85"/>
    <n v="89"/>
    <n v="87"/>
    <n v="86"/>
    <n v="435"/>
    <n v="500"/>
    <n v="87"/>
    <n v="13"/>
  </r>
  <r>
    <x v="54"/>
    <x v="54"/>
    <x v="41"/>
    <n v="95"/>
    <n v="93"/>
    <n v="96"/>
    <n v="94"/>
    <n v="92"/>
    <n v="470"/>
    <n v="500"/>
    <n v="94"/>
    <n v="6"/>
  </r>
  <r>
    <x v="55"/>
    <x v="55"/>
    <x v="42"/>
    <n v="96"/>
    <n v="89"/>
    <n v="93"/>
    <n v="87"/>
    <n v="90"/>
    <n v="455"/>
    <n v="500"/>
    <n v="91"/>
    <n v="9"/>
  </r>
  <r>
    <x v="56"/>
    <x v="56"/>
    <x v="41"/>
    <n v="73"/>
    <n v="75"/>
    <n v="72"/>
    <n v="74"/>
    <n v="76"/>
    <n v="370"/>
    <n v="500"/>
    <n v="74"/>
    <n v="26"/>
  </r>
  <r>
    <x v="57"/>
    <x v="57"/>
    <x v="43"/>
    <n v="63"/>
    <n v="83"/>
    <n v="94"/>
    <n v="38"/>
    <n v="56"/>
    <n v="334"/>
    <n v="500"/>
    <n v="66.8"/>
    <n v="33.200000000000003"/>
  </r>
  <r>
    <x v="58"/>
    <x v="58"/>
    <x v="44"/>
    <n v="88"/>
    <n v="86"/>
    <n v="89"/>
    <n v="87"/>
    <n v="85"/>
    <n v="435"/>
    <n v="500"/>
    <n v="87"/>
    <n v="13"/>
  </r>
  <r>
    <x v="59"/>
    <x v="59"/>
    <x v="45"/>
    <n v="78"/>
    <n v="75"/>
    <n v="72"/>
    <n v="80"/>
    <n v="77"/>
    <n v="382"/>
    <n v="500"/>
    <n v="76.400000000000006"/>
    <n v="23.599999999999994"/>
  </r>
  <r>
    <x v="60"/>
    <x v="60"/>
    <x v="46"/>
    <n v="95"/>
    <n v="97"/>
    <n v="94"/>
    <n v="96"/>
    <n v="93"/>
    <n v="475"/>
    <n v="500"/>
    <n v="95"/>
    <n v="5"/>
  </r>
  <r>
    <x v="61"/>
    <x v="61"/>
    <x v="47"/>
    <n v="79"/>
    <n v="82"/>
    <n v="80"/>
    <n v="83"/>
    <n v="81"/>
    <n v="405"/>
    <n v="500"/>
    <n v="81"/>
    <n v="19"/>
  </r>
  <r>
    <x v="62"/>
    <x v="62"/>
    <x v="48"/>
    <n v="95"/>
    <n v="93"/>
    <n v="96"/>
    <n v="94"/>
    <n v="97"/>
    <n v="475"/>
    <n v="500"/>
    <n v="95"/>
    <n v="5"/>
  </r>
  <r>
    <x v="63"/>
    <x v="63"/>
    <x v="49"/>
    <n v="92"/>
    <n v="90"/>
    <n v="94"/>
    <n v="93"/>
    <n v="91"/>
    <n v="460"/>
    <n v="500"/>
    <n v="92"/>
    <n v="8"/>
  </r>
  <r>
    <x v="64"/>
    <x v="64"/>
    <x v="50"/>
    <n v="74"/>
    <n v="85"/>
    <n v="79"/>
    <n v="90"/>
    <n v="83"/>
    <n v="411"/>
    <n v="500"/>
    <n v="82.2"/>
    <n v="17.799999999999997"/>
  </r>
  <r>
    <x v="65"/>
    <x v="65"/>
    <x v="50"/>
    <n v="88"/>
    <n v="86"/>
    <n v="89"/>
    <n v="87"/>
    <n v="85"/>
    <n v="435"/>
    <n v="500"/>
    <n v="87"/>
    <n v="13"/>
  </r>
  <r>
    <x v="66"/>
    <x v="45"/>
    <x v="51"/>
    <n v="76"/>
    <n v="78"/>
    <n v="75"/>
    <n v="77"/>
    <n v="79"/>
    <n v="385"/>
    <n v="500"/>
    <n v="77"/>
    <n v="23"/>
  </r>
  <r>
    <x v="67"/>
    <x v="66"/>
    <x v="52"/>
    <n v="81"/>
    <n v="83"/>
    <n v="82"/>
    <n v="84"/>
    <n v="80"/>
    <n v="410"/>
    <n v="500"/>
    <n v="82"/>
    <n v="18"/>
  </r>
  <r>
    <x v="68"/>
    <x v="67"/>
    <x v="53"/>
    <n v="86"/>
    <n v="84"/>
    <n v="87"/>
    <n v="85"/>
    <n v="83"/>
    <n v="425"/>
    <n v="500"/>
    <n v="85"/>
    <n v="15"/>
  </r>
  <r>
    <x v="69"/>
    <x v="68"/>
    <x v="53"/>
    <n v="91"/>
    <n v="89"/>
    <n v="92"/>
    <n v="90"/>
    <n v="93"/>
    <n v="455"/>
    <n v="500"/>
    <n v="91"/>
    <n v="9"/>
  </r>
  <r>
    <x v="70"/>
    <x v="69"/>
    <x v="54"/>
    <n v="69"/>
    <n v="72"/>
    <n v="70"/>
    <n v="71"/>
    <n v="73"/>
    <n v="355"/>
    <n v="500"/>
    <n v="71"/>
    <n v="29"/>
  </r>
  <r>
    <x v="71"/>
    <x v="70"/>
    <x v="54"/>
    <n v="78"/>
    <n v="80"/>
    <n v="77"/>
    <n v="79"/>
    <n v="81"/>
    <n v="395"/>
    <n v="500"/>
    <n v="79"/>
    <n v="21"/>
  </r>
  <r>
    <x v="72"/>
    <x v="71"/>
    <x v="55"/>
    <n v="82"/>
    <n v="84"/>
    <n v="81"/>
    <n v="83"/>
    <n v="85"/>
    <n v="415"/>
    <n v="500"/>
    <n v="83"/>
    <n v="17"/>
  </r>
  <r>
    <x v="73"/>
    <x v="72"/>
    <x v="55"/>
    <n v="81"/>
    <n v="83"/>
    <n v="85"/>
    <n v="82"/>
    <n v="84"/>
    <n v="415"/>
    <n v="500"/>
    <n v="83"/>
    <n v="17"/>
  </r>
  <r>
    <x v="74"/>
    <x v="73"/>
    <x v="56"/>
    <n v="95"/>
    <n v="97"/>
    <n v="96"/>
    <n v="94"/>
    <n v="93"/>
    <n v="475"/>
    <n v="500"/>
    <n v="95"/>
    <n v="5"/>
  </r>
  <r>
    <x v="75"/>
    <x v="74"/>
    <x v="57"/>
    <n v="79"/>
    <n v="77"/>
    <n v="80"/>
    <n v="78"/>
    <n v="76"/>
    <n v="390"/>
    <n v="500"/>
    <n v="78"/>
    <n v="22"/>
  </r>
  <r>
    <x v="76"/>
    <x v="75"/>
    <x v="58"/>
    <n v="71"/>
    <n v="73"/>
    <n v="70"/>
    <n v="72"/>
    <n v="74"/>
    <n v="360"/>
    <n v="500"/>
    <n v="72"/>
    <n v="28"/>
  </r>
  <r>
    <x v="77"/>
    <x v="76"/>
    <x v="58"/>
    <n v="88"/>
    <n v="90"/>
    <n v="87"/>
    <n v="89"/>
    <n v="86"/>
    <n v="440"/>
    <n v="500"/>
    <n v="88"/>
    <n v="12"/>
  </r>
  <r>
    <x v="78"/>
    <x v="77"/>
    <x v="59"/>
    <n v="82"/>
    <n v="84"/>
    <n v="81"/>
    <n v="83"/>
    <n v="85"/>
    <n v="415"/>
    <n v="500"/>
    <n v="83"/>
    <n v="17"/>
  </r>
  <r>
    <x v="79"/>
    <x v="78"/>
    <x v="60"/>
    <n v="92"/>
    <n v="90"/>
    <n v="93"/>
    <n v="91"/>
    <n v="94"/>
    <n v="460"/>
    <n v="500"/>
    <n v="92"/>
    <n v="8"/>
  </r>
  <r>
    <x v="80"/>
    <x v="79"/>
    <x v="61"/>
    <n v="71"/>
    <n v="73"/>
    <n v="70"/>
    <n v="72"/>
    <n v="74"/>
    <n v="360"/>
    <n v="500"/>
    <n v="72"/>
    <n v="28"/>
  </r>
  <r>
    <x v="81"/>
    <x v="80"/>
    <x v="62"/>
    <n v="86"/>
    <n v="84"/>
    <n v="87"/>
    <n v="85"/>
    <n v="83"/>
    <n v="425"/>
    <n v="500"/>
    <n v="85"/>
    <n v="15"/>
  </r>
  <r>
    <x v="82"/>
    <x v="81"/>
    <x v="63"/>
    <n v="76"/>
    <n v="78"/>
    <n v="75"/>
    <n v="77"/>
    <n v="79"/>
    <n v="385"/>
    <n v="500"/>
    <n v="77"/>
    <n v="23"/>
  </r>
  <r>
    <x v="83"/>
    <x v="82"/>
    <x v="64"/>
    <n v="74"/>
    <n v="72"/>
    <n v="75"/>
    <n v="73"/>
    <n v="71"/>
    <n v="365"/>
    <n v="500"/>
    <n v="73"/>
    <n v="27"/>
  </r>
  <r>
    <x v="84"/>
    <x v="83"/>
    <x v="65"/>
    <n v="90"/>
    <n v="88"/>
    <n v="91"/>
    <n v="89"/>
    <n v="92"/>
    <n v="450"/>
    <n v="500"/>
    <n v="90"/>
    <n v="10"/>
  </r>
  <r>
    <x v="85"/>
    <x v="84"/>
    <x v="66"/>
    <n v="90"/>
    <n v="92"/>
    <n v="91"/>
    <n v="93"/>
    <n v="89"/>
    <n v="455"/>
    <n v="500"/>
    <n v="91"/>
    <n v="9"/>
  </r>
  <r>
    <x v="86"/>
    <x v="85"/>
    <x v="67"/>
    <n v="88"/>
    <n v="91"/>
    <n v="90"/>
    <n v="92"/>
    <n v="89"/>
    <n v="450"/>
    <n v="500"/>
    <n v="90"/>
    <n v="10"/>
  </r>
  <r>
    <x v="87"/>
    <x v="86"/>
    <x v="68"/>
    <n v="84"/>
    <n v="82"/>
    <n v="88"/>
    <n v="85"/>
    <n v="87"/>
    <n v="426"/>
    <n v="500"/>
    <n v="85.2"/>
    <n v="14.799999999999997"/>
  </r>
  <r>
    <x v="88"/>
    <x v="87"/>
    <x v="69"/>
    <n v="95"/>
    <n v="93"/>
    <n v="96"/>
    <n v="94"/>
    <n v="97"/>
    <n v="475"/>
    <n v="500"/>
    <n v="95"/>
    <n v="5"/>
  </r>
  <r>
    <x v="89"/>
    <x v="88"/>
    <x v="70"/>
    <n v="96"/>
    <n v="94"/>
    <n v="97"/>
    <n v="95"/>
    <n v="93"/>
    <n v="475"/>
    <n v="500"/>
    <n v="95"/>
    <n v="5"/>
  </r>
  <r>
    <x v="90"/>
    <x v="89"/>
    <x v="71"/>
    <n v="87"/>
    <n v="90"/>
    <n v="88"/>
    <n v="89"/>
    <n v="91"/>
    <n v="445"/>
    <n v="500"/>
    <n v="89"/>
    <n v="11"/>
  </r>
  <r>
    <x v="91"/>
    <x v="90"/>
    <x v="72"/>
    <n v="76"/>
    <n v="78"/>
    <n v="75"/>
    <n v="77"/>
    <n v="74"/>
    <n v="380"/>
    <n v="500"/>
    <n v="76"/>
    <n v="24"/>
  </r>
  <r>
    <x v="92"/>
    <x v="91"/>
    <x v="73"/>
    <n v="90"/>
    <n v="94"/>
    <n v="88"/>
    <n v="92"/>
    <n v="91"/>
    <n v="455"/>
    <n v="500"/>
    <n v="91"/>
    <n v="9"/>
  </r>
  <r>
    <x v="93"/>
    <x v="92"/>
    <x v="74"/>
    <n v="74"/>
    <n v="72"/>
    <n v="75"/>
    <n v="73"/>
    <n v="71"/>
    <n v="365"/>
    <n v="500"/>
    <n v="73"/>
    <n v="27"/>
  </r>
  <r>
    <x v="94"/>
    <x v="93"/>
    <x v="75"/>
    <n v="78"/>
    <n v="89"/>
    <n v="56"/>
    <n v="48"/>
    <n v="95"/>
    <n v="366"/>
    <n v="500"/>
    <n v="73.2"/>
    <n v="26.799999999999997"/>
  </r>
  <r>
    <x v="95"/>
    <x v="94"/>
    <x v="76"/>
    <n v="94"/>
    <n v="96"/>
    <n v="95"/>
    <n v="97"/>
    <n v="93"/>
    <n v="475"/>
    <n v="500"/>
    <n v="95"/>
    <n v="5"/>
  </r>
  <r>
    <x v="96"/>
    <x v="95"/>
    <x v="77"/>
    <n v="69"/>
    <n v="71"/>
    <n v="73"/>
    <n v="70"/>
    <n v="72"/>
    <n v="355"/>
    <n v="500"/>
    <n v="71"/>
    <n v="29"/>
  </r>
  <r>
    <x v="97"/>
    <x v="96"/>
    <x v="78"/>
    <n v="73"/>
    <n v="75"/>
    <n v="72"/>
    <n v="74"/>
    <n v="76"/>
    <n v="370"/>
    <n v="500"/>
    <n v="74"/>
    <n v="26"/>
  </r>
  <r>
    <x v="98"/>
    <x v="97"/>
    <x v="79"/>
    <n v="84"/>
    <n v="86"/>
    <n v="83"/>
    <n v="85"/>
    <n v="87"/>
    <n v="425"/>
    <n v="500"/>
    <n v="85"/>
    <n v="15"/>
  </r>
  <r>
    <x v="99"/>
    <x v="98"/>
    <x v="80"/>
    <n v="71"/>
    <n v="73"/>
    <n v="70"/>
    <n v="72"/>
    <n v="74"/>
    <n v="360"/>
    <n v="500"/>
    <n v="72"/>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E330BE-617C-4B5C-938B-F113E0FBBC11}"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2" rowHeaderCaption="Sales Executive">
  <location ref="J3:K14" firstHeaderRow="1" firstDataRow="1" firstDataCol="1"/>
  <pivotFields count="12">
    <pivotField showAll="0"/>
    <pivotField axis="axisRow" showAll="0" measureFilter="1">
      <items count="100">
        <item x="54"/>
        <item x="70"/>
        <item x="84"/>
        <item x="88"/>
        <item x="72"/>
        <item x="76"/>
        <item x="22"/>
        <item x="51"/>
        <item x="87"/>
        <item x="46"/>
        <item x="30"/>
        <item x="35"/>
        <item x="77"/>
        <item x="69"/>
        <item x="89"/>
        <item x="43"/>
        <item x="42"/>
        <item x="74"/>
        <item x="0"/>
        <item x="96"/>
        <item x="68"/>
        <item x="18"/>
        <item x="14"/>
        <item x="38"/>
        <item x="85"/>
        <item x="32"/>
        <item x="10"/>
        <item x="94"/>
        <item x="95"/>
        <item x="5"/>
        <item x="80"/>
        <item x="82"/>
        <item x="9"/>
        <item x="17"/>
        <item x="3"/>
        <item x="57"/>
        <item x="21"/>
        <item x="86"/>
        <item x="2"/>
        <item x="11"/>
        <item x="13"/>
        <item x="19"/>
        <item x="23"/>
        <item x="65"/>
        <item x="59"/>
        <item x="25"/>
        <item x="8"/>
        <item x="61"/>
        <item x="40"/>
        <item x="39"/>
        <item x="4"/>
        <item x="63"/>
        <item x="20"/>
        <item x="41"/>
        <item x="67"/>
        <item x="15"/>
        <item x="27"/>
        <item x="62"/>
        <item x="48"/>
        <item x="44"/>
        <item x="58"/>
        <item x="29"/>
        <item x="92"/>
        <item x="1"/>
        <item x="47"/>
        <item x="24"/>
        <item x="16"/>
        <item x="64"/>
        <item x="81"/>
        <item x="28"/>
        <item x="60"/>
        <item x="98"/>
        <item x="31"/>
        <item x="37"/>
        <item x="50"/>
        <item x="55"/>
        <item x="93"/>
        <item x="12"/>
        <item x="52"/>
        <item x="56"/>
        <item x="45"/>
        <item x="78"/>
        <item x="36"/>
        <item x="75"/>
        <item x="97"/>
        <item x="71"/>
        <item x="33"/>
        <item x="83"/>
        <item x="73"/>
        <item x="90"/>
        <item x="49"/>
        <item x="26"/>
        <item x="6"/>
        <item x="7"/>
        <item x="91"/>
        <item x="34"/>
        <item x="53"/>
        <item x="79"/>
        <item x="66"/>
        <item t="default"/>
      </items>
    </pivotField>
    <pivotField showAll="0">
      <items count="8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x="35"/>
        <item h="1" m="1" x="82"/>
        <item h="1" m="1" x="86"/>
        <item h="1" m="1" x="83"/>
        <item h="1" m="1" x="84"/>
        <item h="1" x="36"/>
        <item h="1" x="37"/>
        <item h="1" x="39"/>
        <item h="1" m="1" x="85"/>
        <item h="1" x="38"/>
        <item h="1" x="40"/>
        <item h="1" m="1" x="81"/>
        <item h="1" x="42"/>
        <item h="1" x="41"/>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11">
    <i>
      <x v="11"/>
    </i>
    <i>
      <x v="13"/>
    </i>
    <i>
      <x v="28"/>
    </i>
    <i>
      <x v="35"/>
    </i>
    <i>
      <x v="41"/>
    </i>
    <i>
      <x v="71"/>
    </i>
    <i>
      <x v="80"/>
    </i>
    <i>
      <x v="83"/>
    </i>
    <i>
      <x v="86"/>
    </i>
    <i>
      <x v="95"/>
    </i>
    <i>
      <x v="97"/>
    </i>
  </rowItems>
  <colItems count="1">
    <i/>
  </colItems>
  <dataFields count="1">
    <dataField name="Target Not Achieved% " fld="11" baseField="1" baseItem="11"/>
  </dataFields>
  <chartFormats count="1">
    <chartFormat chart="1" format="0" series="1">
      <pivotArea type="data" outline="0" fieldPosition="0">
        <references count="1">
          <reference field="4294967294" count="1" selected="0">
            <x v="0"/>
          </reference>
        </references>
      </pivotArea>
    </chartFormat>
  </chartFormats>
  <pivotTableStyleInfo name="PivotStyleDark19"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943DA9-5488-4676-B93F-74CF7D43D2BA}"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7" firstHeaderRow="1" firstDataRow="1" firstDataCol="1"/>
  <pivotFields count="12">
    <pivotField showAll="0"/>
    <pivotField axis="axisRow" showAll="0" measureFilter="1">
      <items count="100">
        <item x="54"/>
        <item x="70"/>
        <item x="84"/>
        <item x="88"/>
        <item x="72"/>
        <item x="76"/>
        <item x="22"/>
        <item x="51"/>
        <item x="87"/>
        <item x="46"/>
        <item x="30"/>
        <item x="35"/>
        <item x="77"/>
        <item x="69"/>
        <item x="89"/>
        <item x="43"/>
        <item x="42"/>
        <item x="74"/>
        <item x="0"/>
        <item x="96"/>
        <item x="68"/>
        <item x="18"/>
        <item x="14"/>
        <item x="38"/>
        <item x="85"/>
        <item x="32"/>
        <item x="10"/>
        <item x="94"/>
        <item x="95"/>
        <item x="5"/>
        <item x="80"/>
        <item x="82"/>
        <item x="9"/>
        <item x="17"/>
        <item x="3"/>
        <item x="57"/>
        <item x="21"/>
        <item x="86"/>
        <item x="2"/>
        <item x="11"/>
        <item x="13"/>
        <item x="19"/>
        <item x="23"/>
        <item x="65"/>
        <item x="59"/>
        <item x="25"/>
        <item x="8"/>
        <item x="61"/>
        <item x="40"/>
        <item x="39"/>
        <item x="4"/>
        <item x="63"/>
        <item x="20"/>
        <item x="41"/>
        <item x="67"/>
        <item x="15"/>
        <item x="27"/>
        <item x="62"/>
        <item x="48"/>
        <item x="44"/>
        <item x="58"/>
        <item x="29"/>
        <item x="92"/>
        <item x="1"/>
        <item x="47"/>
        <item x="24"/>
        <item x="16"/>
        <item x="64"/>
        <item x="81"/>
        <item x="28"/>
        <item x="60"/>
        <item x="98"/>
        <item x="31"/>
        <item x="37"/>
        <item x="50"/>
        <item x="55"/>
        <item x="93"/>
        <item x="12"/>
        <item x="52"/>
        <item x="56"/>
        <item x="45"/>
        <item x="78"/>
        <item x="36"/>
        <item x="75"/>
        <item x="97"/>
        <item x="71"/>
        <item x="33"/>
        <item x="83"/>
        <item x="73"/>
        <item x="90"/>
        <item x="49"/>
        <item x="26"/>
        <item x="6"/>
        <item x="7"/>
        <item x="91"/>
        <item x="34"/>
        <item x="53"/>
        <item x="79"/>
        <item x="66"/>
        <item t="default"/>
      </items>
    </pivotField>
    <pivotField showAll="0">
      <items count="8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m="1" x="82"/>
        <item h="1" m="1" x="86"/>
        <item h="1" m="1" x="83"/>
        <item h="1" m="1" x="84"/>
        <item h="1" x="36"/>
        <item h="1" x="37"/>
        <item h="1" x="39"/>
        <item h="1" m="1" x="85"/>
        <item x="38"/>
        <item h="1" x="40"/>
        <item h="1" m="1" x="81"/>
        <item h="1" x="42"/>
        <item h="1" x="41"/>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4">
    <i>
      <x v="7"/>
    </i>
    <i>
      <x v="58"/>
    </i>
    <i>
      <x v="74"/>
    </i>
    <i>
      <x v="78"/>
    </i>
  </rowItems>
  <colItems count="1">
    <i/>
  </colItems>
  <dataFields count="1">
    <dataField name="Target Achieved% " fld="10"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CBB0AA-DC84-49EB-9055-EA15A1CBECF2}"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D3:E13" firstHeaderRow="1" firstDataRow="1" firstDataCol="1"/>
  <pivotFields count="12">
    <pivotField showAll="0"/>
    <pivotField axis="axisRow" showAll="0" measureFilter="1" sortType="ascending">
      <items count="100">
        <item sd="0" x="54"/>
        <item sd="0" x="70"/>
        <item sd="0" x="84"/>
        <item sd="0" x="88"/>
        <item sd="0" x="72"/>
        <item sd="0" x="76"/>
        <item sd="0" x="22"/>
        <item sd="0" x="51"/>
        <item sd="0" x="87"/>
        <item sd="0" x="46"/>
        <item sd="0" x="30"/>
        <item sd="0" x="35"/>
        <item sd="0" x="77"/>
        <item sd="0" x="69"/>
        <item sd="0" x="89"/>
        <item sd="0" x="43"/>
        <item sd="0" x="42"/>
        <item sd="0" x="74"/>
        <item sd="0" x="0"/>
        <item sd="0" x="96"/>
        <item sd="0" x="68"/>
        <item sd="0" x="18"/>
        <item sd="0" x="14"/>
        <item sd="0" x="38"/>
        <item sd="0" x="85"/>
        <item sd="0" x="32"/>
        <item sd="0" x="10"/>
        <item sd="0" x="94"/>
        <item sd="0" x="95"/>
        <item sd="0" x="5"/>
        <item sd="0" x="80"/>
        <item sd="0" x="82"/>
        <item sd="0" x="9"/>
        <item sd="0" x="17"/>
        <item sd="0" x="3"/>
        <item sd="0" x="57"/>
        <item sd="0" x="21"/>
        <item sd="0" x="86"/>
        <item sd="0" x="2"/>
        <item sd="0" x="11"/>
        <item sd="0" x="13"/>
        <item sd="0" x="19"/>
        <item sd="0" x="23"/>
        <item sd="0" x="65"/>
        <item sd="0" x="59"/>
        <item sd="0" x="25"/>
        <item sd="0" x="8"/>
        <item sd="0" x="61"/>
        <item sd="0" x="40"/>
        <item sd="0" x="39"/>
        <item sd="0" x="4"/>
        <item sd="0" x="63"/>
        <item sd="0" x="20"/>
        <item sd="0" x="41"/>
        <item sd="0" x="67"/>
        <item sd="0" x="15"/>
        <item sd="0" x="27"/>
        <item sd="0" x="62"/>
        <item sd="0" x="48"/>
        <item sd="0" x="44"/>
        <item sd="0" x="58"/>
        <item sd="0" x="29"/>
        <item sd="0" x="92"/>
        <item sd="0" x="1"/>
        <item sd="0" x="47"/>
        <item sd="0" x="24"/>
        <item sd="0" x="16"/>
        <item sd="0" x="64"/>
        <item sd="0" x="81"/>
        <item sd="0" x="28"/>
        <item sd="0" x="60"/>
        <item sd="0" x="98"/>
        <item sd="0" x="31"/>
        <item sd="0" x="37"/>
        <item sd="0" x="50"/>
        <item sd="0" x="55"/>
        <item sd="0" x="93"/>
        <item sd="0" x="12"/>
        <item sd="0" x="52"/>
        <item sd="0" x="56"/>
        <item x="45"/>
        <item sd="0" x="78"/>
        <item sd="0" x="36"/>
        <item sd="0" x="75"/>
        <item sd="0" x="97"/>
        <item sd="0" x="71"/>
        <item sd="0" x="33"/>
        <item sd="0" x="83"/>
        <item sd="0" x="73"/>
        <item sd="0" x="90"/>
        <item sd="0" x="49"/>
        <item sd="0" x="26"/>
        <item sd="0" x="6"/>
        <item sd="0" x="7"/>
        <item sd="0" x="91"/>
        <item sd="0" x="34"/>
        <item sd="0" x="53"/>
        <item sd="0" x="79"/>
        <item sd="0" x="66"/>
        <item t="default" sd="0"/>
      </items>
      <autoSortScope>
        <pivotArea dataOnly="0" outline="0" fieldPosition="0">
          <references count="1">
            <reference field="4294967294" count="1" selected="0">
              <x v="0"/>
            </reference>
          </references>
        </pivotArea>
      </autoSortScope>
    </pivotField>
    <pivotField showAll="0">
      <items count="8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x="35"/>
        <item h="1" m="1" x="82"/>
        <item h="1" m="1" x="86"/>
        <item h="1" m="1" x="83"/>
        <item h="1" m="1" x="84"/>
        <item h="1" x="36"/>
        <item h="1" x="37"/>
        <item h="1" x="39"/>
        <item h="1" m="1" x="85"/>
        <item h="1" x="38"/>
        <item h="1" x="40"/>
        <item h="1" m="1" x="81"/>
        <item h="1" x="42"/>
        <item h="1" x="41"/>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10">
    <i>
      <x v="95"/>
    </i>
    <i>
      <x v="35"/>
    </i>
    <i>
      <x v="11"/>
    </i>
    <i>
      <x v="28"/>
    </i>
    <i>
      <x v="13"/>
    </i>
    <i>
      <x v="41"/>
    </i>
    <i>
      <x v="86"/>
    </i>
    <i>
      <x v="71"/>
    </i>
    <i>
      <x v="83"/>
    </i>
    <i>
      <x v="9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2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792716-A623-4B8C-AF34-75EC57F09F32}"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A3:B17" firstHeaderRow="1" firstDataRow="1" firstDataCol="1"/>
  <pivotFields count="12">
    <pivotField axis="axisRow" showAll="0">
      <items count="101">
        <item x="22"/>
        <item x="64"/>
        <item x="30"/>
        <item x="15"/>
        <item x="55"/>
        <item x="40"/>
        <item x="52"/>
        <item x="92"/>
        <item x="20"/>
        <item x="59"/>
        <item x="45"/>
        <item x="60"/>
        <item x="87"/>
        <item x="1"/>
        <item x="86"/>
        <item x="96"/>
        <item x="63"/>
        <item x="73"/>
        <item x="49"/>
        <item x="36"/>
        <item x="13"/>
        <item x="35"/>
        <item x="9"/>
        <item x="61"/>
        <item x="47"/>
        <item x="91"/>
        <item x="53"/>
        <item x="16"/>
        <item x="18"/>
        <item x="56"/>
        <item x="90"/>
        <item x="54"/>
        <item x="44"/>
        <item x="98"/>
        <item x="70"/>
        <item x="69"/>
        <item x="28"/>
        <item x="77"/>
        <item x="23"/>
        <item x="51"/>
        <item x="33"/>
        <item x="84"/>
        <item x="5"/>
        <item x="31"/>
        <item x="42"/>
        <item x="66"/>
        <item x="58"/>
        <item x="74"/>
        <item x="14"/>
        <item x="83"/>
        <item x="85"/>
        <item x="12"/>
        <item x="38"/>
        <item x="95"/>
        <item x="78"/>
        <item x="6"/>
        <item x="41"/>
        <item x="62"/>
        <item x="4"/>
        <item x="32"/>
        <item x="80"/>
        <item x="79"/>
        <item x="82"/>
        <item x="7"/>
        <item x="46"/>
        <item x="0"/>
        <item x="93"/>
        <item x="8"/>
        <item x="17"/>
        <item x="48"/>
        <item x="88"/>
        <item x="72"/>
        <item x="37"/>
        <item x="39"/>
        <item x="21"/>
        <item x="71"/>
        <item x="68"/>
        <item x="76"/>
        <item x="50"/>
        <item x="24"/>
        <item x="65"/>
        <item x="26"/>
        <item x="67"/>
        <item x="3"/>
        <item x="11"/>
        <item x="2"/>
        <item x="75"/>
        <item x="43"/>
        <item x="27"/>
        <item x="97"/>
        <item x="10"/>
        <item x="89"/>
        <item x="25"/>
        <item x="81"/>
        <item x="99"/>
        <item x="29"/>
        <item x="34"/>
        <item x="19"/>
        <item x="57"/>
        <item x="94"/>
        <item t="default"/>
      </items>
    </pivotField>
    <pivotField axis="axisRow" showAll="0" measureFilter="1" sortType="ascending">
      <items count="100">
        <item sd="0" x="54"/>
        <item sd="0" x="70"/>
        <item sd="0" x="84"/>
        <item sd="0" x="88"/>
        <item sd="0" x="72"/>
        <item sd="0" x="76"/>
        <item sd="0" x="22"/>
        <item sd="0" x="51"/>
        <item sd="0" x="87"/>
        <item sd="0" x="46"/>
        <item sd="0" x="30"/>
        <item sd="0" x="35"/>
        <item sd="0" x="77"/>
        <item sd="0" x="69"/>
        <item sd="0" x="89"/>
        <item sd="0" x="43"/>
        <item sd="0" x="42"/>
        <item sd="0" x="74"/>
        <item sd="0" x="0"/>
        <item sd="0" x="96"/>
        <item sd="0" x="68"/>
        <item sd="0" x="18"/>
        <item sd="0" x="14"/>
        <item sd="0" x="38"/>
        <item sd="0" x="85"/>
        <item sd="0" x="32"/>
        <item sd="0" x="10"/>
        <item sd="0" x="94"/>
        <item sd="0" x="95"/>
        <item sd="0" x="5"/>
        <item sd="0" x="80"/>
        <item sd="0" x="82"/>
        <item sd="0" x="9"/>
        <item sd="0" x="17"/>
        <item sd="0" x="3"/>
        <item sd="0" x="57"/>
        <item sd="0" x="21"/>
        <item sd="0" x="86"/>
        <item sd="0" x="2"/>
        <item sd="0" x="11"/>
        <item sd="0" x="13"/>
        <item sd="0" x="19"/>
        <item sd="0" x="23"/>
        <item sd="0" x="65"/>
        <item sd="0" x="59"/>
        <item sd="0" x="25"/>
        <item sd="0" x="8"/>
        <item sd="0" x="61"/>
        <item sd="0" x="40"/>
        <item sd="0" x="39"/>
        <item sd="0" x="4"/>
        <item sd="0" x="63"/>
        <item sd="0" x="20"/>
        <item sd="0" x="41"/>
        <item sd="0" x="67"/>
        <item sd="0" x="15"/>
        <item sd="0" x="27"/>
        <item sd="0" x="62"/>
        <item sd="0" x="48"/>
        <item sd="0" x="44"/>
        <item sd="0" x="58"/>
        <item sd="0" x="29"/>
        <item sd="0" x="92"/>
        <item sd="0" x="1"/>
        <item sd="0" x="47"/>
        <item sd="0" x="24"/>
        <item sd="0" x="16"/>
        <item sd="0" x="64"/>
        <item sd="0" x="81"/>
        <item sd="0" x="28"/>
        <item sd="0" x="60"/>
        <item sd="0" x="98"/>
        <item sd="0" x="31"/>
        <item sd="0" x="37"/>
        <item sd="0" x="50"/>
        <item sd="0" x="55"/>
        <item sd="0" x="93"/>
        <item sd="0" x="12"/>
        <item sd="0" x="52"/>
        <item sd="0" x="56"/>
        <item x="45"/>
        <item sd="0" x="78"/>
        <item sd="0" x="36"/>
        <item sd="0" x="75"/>
        <item sd="0" x="97"/>
        <item sd="0" x="71"/>
        <item sd="0" x="33"/>
        <item sd="0" x="83"/>
        <item sd="0" x="73"/>
        <item sd="0" x="90"/>
        <item sd="0" x="49"/>
        <item sd="0" x="26"/>
        <item sd="0" x="6"/>
        <item sd="0" x="7"/>
        <item sd="0" x="91"/>
        <item sd="0" x="34"/>
        <item sd="0" x="53"/>
        <item sd="0" x="79"/>
        <item sd="0" x="66"/>
        <item t="default" sd="0"/>
      </items>
      <autoSortScope>
        <pivotArea dataOnly="0" outline="0" fieldPosition="0">
          <references count="1">
            <reference field="4294967294" count="1" selected="0">
              <x v="0"/>
            </reference>
          </references>
        </pivotArea>
      </autoSortScope>
    </pivotField>
    <pivotField showAll="0">
      <items count="8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x="35"/>
        <item h="1" m="1" x="82"/>
        <item h="1" m="1" x="86"/>
        <item h="1" m="1" x="83"/>
        <item h="1" m="1" x="84"/>
        <item h="1" x="36"/>
        <item h="1" x="37"/>
        <item h="1" x="39"/>
        <item h="1" m="1" x="85"/>
        <item h="1" x="38"/>
        <item h="1" x="40"/>
        <item h="1" m="1" x="81"/>
        <item h="1" x="42"/>
        <item h="1" x="41"/>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t="default"/>
      </items>
    </pivotField>
    <pivotField showAll="0"/>
    <pivotField showAll="0"/>
    <pivotField showAll="0"/>
    <pivotField showAll="0"/>
    <pivotField showAll="0"/>
    <pivotField dataField="1" showAll="0"/>
    <pivotField showAll="0"/>
    <pivotField showAll="0"/>
    <pivotField showAll="0"/>
  </pivotFields>
  <rowFields count="2">
    <field x="1"/>
    <field x="0"/>
  </rowFields>
  <rowItems count="14">
    <i>
      <x v="27"/>
    </i>
    <i>
      <x v="36"/>
    </i>
    <i>
      <x v="7"/>
    </i>
    <i>
      <x v="57"/>
    </i>
    <i>
      <x v="9"/>
    </i>
    <i>
      <x v="70"/>
    </i>
    <i>
      <x v="3"/>
    </i>
    <i>
      <x v="8"/>
    </i>
    <i>
      <x v="15"/>
    </i>
    <i>
      <x v="91"/>
    </i>
    <i>
      <x v="88"/>
    </i>
    <i>
      <x v="80"/>
    </i>
    <i r="1">
      <x v="10"/>
    </i>
    <i r="1">
      <x v="45"/>
    </i>
  </rowItems>
  <colItems count="1">
    <i/>
  </colItems>
  <dataFields count="1">
    <dataField name="Total Sales " fld="8" baseField="1" baseItem="0"/>
  </dataField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2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869F381-D8AE-4EDC-9700-9888814CD8AC}" sourceName="Region">
  <pivotTables>
    <pivotTable tabId="2" name="PivotTable3"/>
  </pivotTables>
  <data>
    <tabular pivotCacheId="1474763666">
      <items count="87">
        <i x="0"/>
        <i x="1"/>
        <i x="2"/>
        <i x="3"/>
        <i x="4"/>
        <i x="5"/>
        <i x="6"/>
        <i x="7"/>
        <i x="8"/>
        <i x="9"/>
        <i x="10"/>
        <i x="11"/>
        <i x="12"/>
        <i x="13"/>
        <i x="14"/>
        <i x="15"/>
        <i x="16"/>
        <i x="17"/>
        <i x="18"/>
        <i x="19"/>
        <i x="20"/>
        <i x="21"/>
        <i x="22"/>
        <i x="23"/>
        <i x="24"/>
        <i x="25"/>
        <i x="26"/>
        <i x="27"/>
        <i x="28"/>
        <i x="29"/>
        <i x="30"/>
        <i x="31"/>
        <i x="32"/>
        <i x="33"/>
        <i x="34"/>
        <i x="35"/>
        <i x="36"/>
        <i x="37"/>
        <i x="39"/>
        <i x="38" s="1"/>
        <i x="40"/>
        <i x="42"/>
        <i x="41"/>
        <i x="43"/>
        <i x="44"/>
        <i x="45"/>
        <i x="46"/>
        <i x="47"/>
        <i x="48"/>
        <i x="49"/>
        <i x="50"/>
        <i x="51"/>
        <i x="52"/>
        <i x="53"/>
        <i x="54"/>
        <i x="55"/>
        <i x="56"/>
        <i x="57"/>
        <i x="58"/>
        <i x="59"/>
        <i x="60"/>
        <i x="61"/>
        <i x="62"/>
        <i x="63"/>
        <i x="64"/>
        <i x="65"/>
        <i x="66"/>
        <i x="67"/>
        <i x="68"/>
        <i x="69"/>
        <i x="70"/>
        <i x="71"/>
        <i x="72"/>
        <i x="73"/>
        <i x="74"/>
        <i x="75"/>
        <i x="76"/>
        <i x="77"/>
        <i x="78"/>
        <i x="79"/>
        <i x="80"/>
        <i x="82" nd="1"/>
        <i x="86" nd="1"/>
        <i x="83" nd="1"/>
        <i x="84" nd="1"/>
        <i x="85" nd="1"/>
        <i x="8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93F8A1F-3D4E-4B71-B4A4-B9767301E242}" cache="Slicer_Region" caption="Region" startItem="27" columnCount="9" showCaption="0"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20B9BB-481C-4075-8E05-97B1341D609C}" name="Table2" displayName="Table2" ref="A1:L101" totalsRowShown="0" headerRowDxfId="0">
  <autoFilter ref="A1:L101" xr:uid="{8620B9BB-481C-4075-8E05-97B1341D609C}"/>
  <sortState xmlns:xlrd2="http://schemas.microsoft.com/office/spreadsheetml/2017/richdata2" ref="A2:L101">
    <sortCondition ref="C1:C101"/>
  </sortState>
  <tableColumns count="12">
    <tableColumn id="1" xr3:uid="{656657B9-E1FD-4528-BAF0-59D13DBC6162}" name="Emp Code"/>
    <tableColumn id="2" xr3:uid="{0D4C890C-410C-46A7-95AE-58E8B31605FB}" name="Sales Executive"/>
    <tableColumn id="3" xr3:uid="{C38328A7-751B-4807-BC54-58B03BE12BBD}" name="Region"/>
    <tableColumn id="4" xr3:uid="{EB349DEA-966D-48D1-ABC1-F7CCEB7F6FF7}" name="Day 1"/>
    <tableColumn id="5" xr3:uid="{0B3A7BFC-33B6-4CF9-BD25-3155E2951CEA}" name="Day 2"/>
    <tableColumn id="6" xr3:uid="{6278D26F-150E-4D8A-A20B-806F422E8BAA}" name="Day 3"/>
    <tableColumn id="7" xr3:uid="{17C27D51-7A98-443F-85C3-A0F5A6DF2582}" name="Day 4"/>
    <tableColumn id="8" xr3:uid="{31BE9B92-A228-445A-843B-80DF22C145ED}" name="Day 5"/>
    <tableColumn id="9" xr3:uid="{A98212A6-01FB-4588-B5BB-88C3AC7157B7}" name="Total Sales">
      <calculatedColumnFormula>SUM(D2:D2:H2)</calculatedColumnFormula>
    </tableColumn>
    <tableColumn id="10" xr3:uid="{CE718C39-F1E1-4DFD-ACC7-638D8831F2DA}" name="Target"/>
    <tableColumn id="11" xr3:uid="{BE7ACA34-1E46-4DDA-A2A8-3E17B324ACF9}" name="Target Achieved%">
      <calculatedColumnFormula>Table2[[#This Row],[Total Sales]]*100/Table2[[#This Row],[Target]]</calculatedColumnFormula>
    </tableColumn>
    <tableColumn id="12" xr3:uid="{8E58C468-73D2-42C2-8990-7D3D14DD0693}" name="Target Not Achieved%">
      <calculatedColumnFormula>100-K2</calculatedColumnFormula>
    </tableColumn>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9EE3C-B767-4A1D-A4D0-0BC425CF11AA}">
  <sheetPr codeName="Sheet1">
    <pageSetUpPr autoPageBreaks="0"/>
  </sheetPr>
  <dimension ref="A1:R34"/>
  <sheetViews>
    <sheetView tabSelected="1" showRuler="0" zoomScale="86" zoomScaleNormal="86" zoomScalePageLayoutView="32" workbookViewId="0">
      <selection activeCell="H31" sqref="H31"/>
    </sheetView>
  </sheetViews>
  <sheetFormatPr defaultRowHeight="15" x14ac:dyDescent="0.25"/>
  <cols>
    <col min="1" max="1" width="26.5703125" customWidth="1"/>
    <col min="2" max="2" width="15.85546875" customWidth="1"/>
    <col min="3" max="3" width="3.85546875" customWidth="1"/>
    <col min="4" max="4" width="34.7109375" customWidth="1"/>
    <col min="5" max="5" width="16.5703125" customWidth="1"/>
    <col min="6" max="6" width="3.85546875" customWidth="1"/>
    <col min="7" max="7" width="25.28515625" customWidth="1"/>
    <col min="8" max="8" width="23.140625" bestFit="1" customWidth="1"/>
    <col min="9" max="9" width="4" customWidth="1"/>
    <col min="10" max="10" width="25" customWidth="1"/>
    <col min="11" max="11" width="27.7109375" bestFit="1" customWidth="1"/>
    <col min="14" max="14" width="9.140625" customWidth="1"/>
    <col min="15" max="15" width="12.28515625" customWidth="1"/>
  </cols>
  <sheetData>
    <row r="1" spans="1:18" ht="52.5" customHeight="1" x14ac:dyDescent="0.25">
      <c r="A1" s="7" t="b">
        <v>0</v>
      </c>
      <c r="B1" s="7"/>
      <c r="C1" s="7"/>
      <c r="D1" s="7" t="b">
        <v>0</v>
      </c>
      <c r="E1" s="7"/>
      <c r="F1" s="7"/>
      <c r="G1" s="7" t="b">
        <v>1</v>
      </c>
      <c r="H1" s="7"/>
      <c r="I1" s="7"/>
      <c r="J1" s="7" t="b">
        <v>0</v>
      </c>
      <c r="K1" s="7"/>
      <c r="L1" s="3"/>
      <c r="M1" s="3"/>
      <c r="N1" s="3"/>
      <c r="O1" s="3"/>
      <c r="P1" s="3"/>
      <c r="Q1" s="3"/>
      <c r="R1" s="3"/>
    </row>
    <row r="2" spans="1:18" ht="50.25" customHeight="1" x14ac:dyDescent="0.25">
      <c r="A2" s="3"/>
      <c r="B2" s="3"/>
      <c r="C2" s="3"/>
      <c r="D2" s="3"/>
      <c r="E2" s="3"/>
      <c r="F2" s="3"/>
      <c r="G2" s="3"/>
      <c r="H2" s="3"/>
      <c r="I2" s="3"/>
      <c r="J2" s="3"/>
      <c r="K2" s="3"/>
      <c r="L2" s="3"/>
      <c r="M2" s="3"/>
      <c r="N2" s="3"/>
      <c r="O2" s="3"/>
      <c r="P2" s="3"/>
      <c r="Q2" s="3"/>
      <c r="R2" s="3"/>
    </row>
    <row r="3" spans="1:18" x14ac:dyDescent="0.25">
      <c r="A3" s="4" t="s">
        <v>1</v>
      </c>
      <c r="B3" t="s">
        <v>292</v>
      </c>
      <c r="C3" s="3"/>
      <c r="D3" s="4" t="s">
        <v>1</v>
      </c>
      <c r="E3" t="s">
        <v>292</v>
      </c>
      <c r="F3" s="3"/>
      <c r="G3" s="4" t="s">
        <v>1</v>
      </c>
      <c r="H3" t="s">
        <v>293</v>
      </c>
      <c r="I3" s="3"/>
      <c r="J3" s="4" t="s">
        <v>1</v>
      </c>
      <c r="K3" t="s">
        <v>294</v>
      </c>
      <c r="L3" s="3"/>
      <c r="M3" s="3"/>
      <c r="N3" s="3"/>
      <c r="O3" s="3"/>
      <c r="P3" s="3"/>
      <c r="Q3" s="3"/>
      <c r="R3" s="3"/>
    </row>
    <row r="4" spans="1:18" x14ac:dyDescent="0.25">
      <c r="A4" s="5" t="s">
        <v>162</v>
      </c>
      <c r="B4" s="6">
        <v>475</v>
      </c>
      <c r="C4" s="3"/>
      <c r="D4" s="5" t="s">
        <v>205</v>
      </c>
      <c r="E4" s="6">
        <v>332</v>
      </c>
      <c r="F4" s="3"/>
      <c r="G4" s="5" t="s">
        <v>148</v>
      </c>
      <c r="H4" s="6">
        <v>95</v>
      </c>
      <c r="I4" s="3"/>
      <c r="J4" s="5" t="s">
        <v>130</v>
      </c>
      <c r="K4" s="6">
        <v>30</v>
      </c>
      <c r="L4" s="3"/>
      <c r="M4" s="3"/>
      <c r="N4" s="3"/>
      <c r="O4" s="3"/>
      <c r="P4" s="3"/>
      <c r="Q4" s="3"/>
      <c r="R4" s="3"/>
    </row>
    <row r="5" spans="1:18" x14ac:dyDescent="0.25">
      <c r="A5" s="5" t="s">
        <v>183</v>
      </c>
      <c r="B5" s="6">
        <v>475</v>
      </c>
      <c r="C5" s="3"/>
      <c r="D5" s="5" t="s">
        <v>207</v>
      </c>
      <c r="E5" s="6">
        <v>334</v>
      </c>
      <c r="F5" s="3"/>
      <c r="G5" s="5" t="s">
        <v>178</v>
      </c>
      <c r="H5" s="6">
        <v>78</v>
      </c>
      <c r="I5" s="3"/>
      <c r="J5" s="5" t="s">
        <v>143</v>
      </c>
      <c r="K5" s="6">
        <v>29</v>
      </c>
      <c r="L5" s="3"/>
      <c r="M5" s="3"/>
      <c r="N5" s="3"/>
      <c r="O5" s="3"/>
      <c r="P5" s="3"/>
      <c r="Q5" s="3"/>
      <c r="R5" s="3"/>
    </row>
    <row r="6" spans="1:18" x14ac:dyDescent="0.25">
      <c r="A6" s="5" t="s">
        <v>148</v>
      </c>
      <c r="B6" s="6">
        <v>475</v>
      </c>
      <c r="C6" s="3"/>
      <c r="D6" s="5" t="s">
        <v>130</v>
      </c>
      <c r="E6" s="6">
        <v>350</v>
      </c>
      <c r="F6" s="3"/>
      <c r="G6" s="5" t="s">
        <v>187</v>
      </c>
      <c r="H6" s="6">
        <v>92</v>
      </c>
      <c r="I6" s="3"/>
      <c r="J6" s="5" t="s">
        <v>124</v>
      </c>
      <c r="K6" s="6">
        <v>29</v>
      </c>
      <c r="L6" s="3"/>
      <c r="M6" s="3"/>
      <c r="N6" s="3"/>
      <c r="O6" s="3"/>
      <c r="P6" s="3"/>
      <c r="Q6" s="3"/>
      <c r="R6" s="3"/>
    </row>
    <row r="7" spans="1:18" x14ac:dyDescent="0.25">
      <c r="A7" s="5" t="s">
        <v>166</v>
      </c>
      <c r="B7" s="6">
        <v>475</v>
      </c>
      <c r="C7" s="3"/>
      <c r="D7" s="5" t="s">
        <v>124</v>
      </c>
      <c r="E7" s="6">
        <v>355</v>
      </c>
      <c r="F7" s="3"/>
      <c r="G7" s="5" t="s">
        <v>116</v>
      </c>
      <c r="H7" s="6">
        <v>72.599999999999994</v>
      </c>
      <c r="I7" s="3"/>
      <c r="J7" s="5" t="s">
        <v>207</v>
      </c>
      <c r="K7" s="6">
        <v>33.200000000000003</v>
      </c>
      <c r="L7" s="3"/>
      <c r="M7" s="3"/>
      <c r="N7" s="3"/>
      <c r="O7" s="3"/>
      <c r="P7" s="3"/>
      <c r="Q7" s="3"/>
      <c r="R7" s="3"/>
    </row>
    <row r="8" spans="1:18" x14ac:dyDescent="0.25">
      <c r="A8" s="5" t="s">
        <v>173</v>
      </c>
      <c r="B8" s="6">
        <v>475</v>
      </c>
      <c r="C8" s="3"/>
      <c r="D8" s="5" t="s">
        <v>143</v>
      </c>
      <c r="E8" s="6">
        <v>355</v>
      </c>
      <c r="F8" s="3"/>
      <c r="I8" s="3"/>
      <c r="J8" s="5" t="s">
        <v>206</v>
      </c>
      <c r="K8" s="6">
        <v>28.400000000000006</v>
      </c>
      <c r="L8" s="3"/>
      <c r="M8" s="3"/>
      <c r="N8" s="3"/>
      <c r="O8" s="3"/>
      <c r="P8" s="3"/>
      <c r="Q8" s="3"/>
      <c r="R8" s="3"/>
    </row>
    <row r="9" spans="1:18" x14ac:dyDescent="0.25">
      <c r="A9" s="5" t="s">
        <v>120</v>
      </c>
      <c r="B9" s="6">
        <v>475</v>
      </c>
      <c r="C9" s="3"/>
      <c r="D9" s="5" t="s">
        <v>206</v>
      </c>
      <c r="E9" s="6">
        <v>358</v>
      </c>
      <c r="F9" s="3"/>
      <c r="I9" s="3"/>
      <c r="J9" s="5" t="s">
        <v>203</v>
      </c>
      <c r="K9" s="6">
        <v>28</v>
      </c>
      <c r="L9" s="3"/>
      <c r="M9" s="3"/>
      <c r="N9" s="3"/>
      <c r="O9" s="3"/>
      <c r="P9" s="3"/>
      <c r="Q9" s="3"/>
      <c r="R9" s="3"/>
    </row>
    <row r="10" spans="1:18" x14ac:dyDescent="0.25">
      <c r="A10" s="5" t="s">
        <v>200</v>
      </c>
      <c r="B10" s="6">
        <v>475</v>
      </c>
      <c r="C10" s="3"/>
      <c r="D10" s="5" t="s">
        <v>149</v>
      </c>
      <c r="E10" s="6">
        <v>360</v>
      </c>
      <c r="F10" s="3"/>
      <c r="I10" s="3"/>
      <c r="J10" s="5" t="s">
        <v>154</v>
      </c>
      <c r="K10" s="6">
        <v>50.599999999999994</v>
      </c>
      <c r="L10" s="3"/>
      <c r="M10" s="3"/>
      <c r="N10" s="3"/>
      <c r="O10" s="3"/>
      <c r="P10" s="3"/>
      <c r="Q10" s="3"/>
      <c r="R10" s="3"/>
    </row>
    <row r="11" spans="1:18" x14ac:dyDescent="0.25">
      <c r="A11" s="5" t="s">
        <v>179</v>
      </c>
      <c r="B11" s="6">
        <v>475</v>
      </c>
      <c r="C11" s="3"/>
      <c r="D11" s="5" t="s">
        <v>203</v>
      </c>
      <c r="E11" s="6">
        <v>360</v>
      </c>
      <c r="F11" s="3"/>
      <c r="I11" s="3"/>
      <c r="J11" s="5" t="s">
        <v>186</v>
      </c>
      <c r="K11" s="6">
        <v>28</v>
      </c>
      <c r="L11" s="3"/>
      <c r="M11" s="3"/>
      <c r="N11" s="3"/>
      <c r="O11" s="3"/>
      <c r="P11" s="3"/>
      <c r="Q11" s="3"/>
      <c r="R11" s="3"/>
    </row>
    <row r="12" spans="1:18" x14ac:dyDescent="0.25">
      <c r="A12" s="5" t="s">
        <v>196</v>
      </c>
      <c r="B12" s="6">
        <v>475</v>
      </c>
      <c r="C12" s="3"/>
      <c r="D12" s="5" t="s">
        <v>186</v>
      </c>
      <c r="E12" s="6">
        <v>360</v>
      </c>
      <c r="F12" s="3"/>
      <c r="I12" s="3"/>
      <c r="J12" s="5" t="s">
        <v>149</v>
      </c>
      <c r="K12" s="6">
        <v>28</v>
      </c>
      <c r="L12" s="3"/>
      <c r="M12" s="3"/>
      <c r="N12" s="3"/>
      <c r="O12" s="3"/>
      <c r="P12" s="3"/>
      <c r="Q12" s="3"/>
      <c r="R12" s="3"/>
    </row>
    <row r="13" spans="1:18" x14ac:dyDescent="0.25">
      <c r="A13" s="5" t="s">
        <v>190</v>
      </c>
      <c r="B13" s="6">
        <v>475</v>
      </c>
      <c r="C13" s="3"/>
      <c r="D13" s="5" t="s">
        <v>169</v>
      </c>
      <c r="E13" s="6">
        <v>360</v>
      </c>
      <c r="F13" s="3"/>
      <c r="I13" s="3"/>
      <c r="J13" s="5" t="s">
        <v>205</v>
      </c>
      <c r="K13" s="6">
        <v>33.599999999999994</v>
      </c>
      <c r="L13" s="3"/>
      <c r="M13" s="3"/>
      <c r="N13" s="3"/>
      <c r="O13" s="3"/>
      <c r="P13" s="3"/>
      <c r="Q13" s="3"/>
      <c r="R13" s="3"/>
    </row>
    <row r="14" spans="1:18" x14ac:dyDescent="0.25">
      <c r="A14" s="5" t="s">
        <v>156</v>
      </c>
      <c r="B14" s="6">
        <v>475</v>
      </c>
      <c r="C14" s="3"/>
      <c r="D14" s="3"/>
      <c r="E14" s="3"/>
      <c r="F14" s="3"/>
      <c r="I14" s="3"/>
      <c r="J14" s="5" t="s">
        <v>169</v>
      </c>
      <c r="K14" s="6">
        <v>28</v>
      </c>
      <c r="L14" s="3"/>
      <c r="M14" s="3"/>
      <c r="N14" s="3"/>
      <c r="O14" s="3"/>
      <c r="P14" s="3"/>
      <c r="Q14" s="3"/>
      <c r="R14" s="3"/>
    </row>
    <row r="15" spans="1:18" x14ac:dyDescent="0.25">
      <c r="A15" s="5" t="s">
        <v>154</v>
      </c>
      <c r="B15" s="6">
        <v>747</v>
      </c>
      <c r="C15" s="3"/>
      <c r="D15" s="3"/>
      <c r="E15" s="3"/>
      <c r="F15" s="3"/>
      <c r="I15" s="3"/>
      <c r="J15" s="3"/>
      <c r="K15" s="3"/>
      <c r="L15" s="3"/>
      <c r="M15" s="3"/>
      <c r="N15" s="3"/>
      <c r="O15" s="3"/>
      <c r="P15" s="3"/>
      <c r="Q15" s="3"/>
      <c r="R15" s="3"/>
    </row>
    <row r="16" spans="1:18" x14ac:dyDescent="0.25">
      <c r="A16" s="8" t="s">
        <v>109</v>
      </c>
      <c r="B16" s="6">
        <v>362</v>
      </c>
      <c r="C16" s="3"/>
      <c r="D16" s="3"/>
      <c r="E16" s="3"/>
      <c r="F16" s="3"/>
      <c r="G16" s="3"/>
      <c r="H16" s="3"/>
      <c r="I16" s="3"/>
      <c r="J16" s="3"/>
      <c r="K16" s="3"/>
      <c r="L16" s="3"/>
      <c r="M16" s="3"/>
      <c r="N16" s="3"/>
      <c r="O16" s="3"/>
      <c r="P16" s="3"/>
      <c r="Q16" s="3"/>
      <c r="R16" s="3"/>
    </row>
    <row r="17" spans="1:18" x14ac:dyDescent="0.25">
      <c r="A17" s="8" t="s">
        <v>54</v>
      </c>
      <c r="B17" s="6">
        <v>385</v>
      </c>
      <c r="C17" s="3"/>
      <c r="D17" s="3"/>
      <c r="E17" s="3"/>
      <c r="F17" s="3"/>
      <c r="G17" s="3"/>
      <c r="H17" s="3"/>
      <c r="I17" s="3"/>
      <c r="J17" s="3"/>
      <c r="K17" s="3"/>
      <c r="L17" s="3"/>
      <c r="M17" s="3"/>
      <c r="N17" s="3"/>
      <c r="O17" s="3"/>
      <c r="P17" s="3"/>
      <c r="Q17" s="3"/>
      <c r="R17" s="3"/>
    </row>
    <row r="18" spans="1:18" x14ac:dyDescent="0.25">
      <c r="A18" s="3"/>
      <c r="B18" s="3"/>
      <c r="C18" s="3"/>
      <c r="D18" s="3"/>
      <c r="E18" s="3"/>
      <c r="F18" s="3"/>
      <c r="G18" s="3"/>
      <c r="H18" s="3"/>
      <c r="I18" s="3"/>
      <c r="J18" s="3"/>
      <c r="K18" s="3"/>
      <c r="L18" s="3"/>
      <c r="M18" s="3"/>
      <c r="N18" s="3"/>
      <c r="O18" s="3"/>
      <c r="P18" s="3"/>
      <c r="Q18" s="3"/>
      <c r="R18" s="3"/>
    </row>
    <row r="19" spans="1:18" x14ac:dyDescent="0.25">
      <c r="A19" s="3"/>
      <c r="B19" s="3"/>
      <c r="C19" s="3"/>
      <c r="D19" s="3"/>
      <c r="E19" s="3"/>
      <c r="F19" s="3"/>
      <c r="G19" s="3"/>
      <c r="H19" s="3"/>
      <c r="I19" s="3"/>
      <c r="J19" s="3"/>
      <c r="K19" s="3"/>
      <c r="L19" s="3"/>
      <c r="M19" s="3"/>
      <c r="N19" s="3"/>
      <c r="O19" s="3"/>
      <c r="P19" s="3"/>
      <c r="Q19" s="3"/>
      <c r="R19" s="3"/>
    </row>
    <row r="20" spans="1:18" x14ac:dyDescent="0.25">
      <c r="A20" s="3"/>
      <c r="B20" s="3"/>
      <c r="C20" s="3"/>
      <c r="D20" s="3"/>
      <c r="E20" s="3"/>
      <c r="F20" s="3"/>
      <c r="G20" s="3"/>
      <c r="H20" s="3"/>
      <c r="I20" s="3"/>
      <c r="J20" s="3"/>
      <c r="K20" s="3"/>
      <c r="L20" s="3"/>
      <c r="M20" s="3"/>
      <c r="N20" s="3"/>
      <c r="O20" s="3"/>
      <c r="P20" s="3"/>
      <c r="Q20" s="3"/>
      <c r="R20" s="3"/>
    </row>
    <row r="21" spans="1:18" x14ac:dyDescent="0.25">
      <c r="A21" s="3"/>
      <c r="B21" s="3"/>
      <c r="C21" s="3"/>
      <c r="D21" s="3"/>
      <c r="E21" s="3"/>
      <c r="F21" s="3"/>
      <c r="G21" s="3"/>
      <c r="H21" s="3"/>
      <c r="I21" s="3"/>
      <c r="J21" s="3"/>
      <c r="K21" s="3"/>
      <c r="L21" s="3"/>
      <c r="M21" s="3"/>
      <c r="N21" s="3"/>
      <c r="O21" s="3"/>
      <c r="P21" s="3"/>
      <c r="Q21" s="3"/>
      <c r="R21" s="3"/>
    </row>
    <row r="22" spans="1:18" x14ac:dyDescent="0.25">
      <c r="A22" s="3"/>
      <c r="B22" s="3"/>
      <c r="C22" s="3"/>
      <c r="D22" s="3"/>
      <c r="E22" s="3"/>
      <c r="F22" s="3"/>
      <c r="G22" s="3"/>
      <c r="H22" s="3"/>
      <c r="I22" s="3"/>
      <c r="J22" s="3"/>
      <c r="K22" s="3"/>
      <c r="L22" s="3"/>
      <c r="M22" s="3"/>
      <c r="N22" s="3"/>
      <c r="O22" s="3"/>
      <c r="P22" s="3"/>
      <c r="Q22" s="3"/>
      <c r="R22" s="3"/>
    </row>
    <row r="23" spans="1:18" x14ac:dyDescent="0.25">
      <c r="A23" s="3"/>
      <c r="B23" s="3"/>
      <c r="C23" s="3"/>
      <c r="D23" s="3"/>
      <c r="E23" s="3"/>
      <c r="F23" s="3"/>
      <c r="G23" s="3"/>
      <c r="H23" s="3"/>
      <c r="I23" s="3"/>
      <c r="J23" s="3"/>
      <c r="K23" s="3"/>
      <c r="L23" s="3"/>
      <c r="M23" s="3"/>
      <c r="N23" s="3"/>
      <c r="O23" s="3"/>
      <c r="P23" s="3"/>
      <c r="Q23" s="3"/>
      <c r="R23" s="3"/>
    </row>
    <row r="24" spans="1:18" x14ac:dyDescent="0.25">
      <c r="A24" s="3"/>
      <c r="B24" s="3"/>
      <c r="C24" s="3"/>
      <c r="D24" s="3"/>
      <c r="E24" s="3"/>
      <c r="F24" s="3"/>
      <c r="G24" s="3"/>
      <c r="H24" s="3"/>
      <c r="I24" s="3"/>
      <c r="J24" s="3"/>
      <c r="K24" s="3"/>
      <c r="L24" s="3"/>
      <c r="M24" s="3"/>
      <c r="N24" s="3"/>
      <c r="O24" s="3"/>
      <c r="P24" s="3"/>
      <c r="Q24" s="3"/>
      <c r="R24" s="3"/>
    </row>
    <row r="25" spans="1:18" x14ac:dyDescent="0.25">
      <c r="A25" s="3"/>
      <c r="B25" s="3"/>
      <c r="C25" s="3"/>
      <c r="D25" s="3"/>
      <c r="E25" s="3"/>
      <c r="F25" s="3"/>
      <c r="G25" s="3"/>
      <c r="H25" s="3"/>
      <c r="I25" s="3"/>
      <c r="J25" s="3"/>
      <c r="K25" s="3"/>
      <c r="L25" s="3"/>
      <c r="M25" s="3"/>
      <c r="N25" s="3"/>
      <c r="O25" s="3"/>
      <c r="P25" s="3"/>
      <c r="Q25" s="3"/>
      <c r="R25" s="3"/>
    </row>
    <row r="26" spans="1:18" x14ac:dyDescent="0.25">
      <c r="A26" s="3"/>
      <c r="B26" s="3"/>
      <c r="C26" s="3"/>
      <c r="D26" s="3"/>
      <c r="E26" s="3"/>
      <c r="F26" s="3"/>
      <c r="G26" s="3"/>
      <c r="H26" s="3"/>
      <c r="I26" s="3"/>
      <c r="J26" s="3"/>
      <c r="K26" s="3"/>
      <c r="L26" s="3"/>
      <c r="M26" s="3"/>
      <c r="N26" s="3"/>
      <c r="O26" s="3"/>
      <c r="P26" s="3"/>
      <c r="Q26" s="3"/>
      <c r="R26" s="3"/>
    </row>
    <row r="27" spans="1:18" x14ac:dyDescent="0.25">
      <c r="A27" s="3"/>
      <c r="B27" s="3"/>
      <c r="C27" s="3"/>
      <c r="D27" s="3"/>
      <c r="E27" s="3"/>
      <c r="F27" s="3"/>
      <c r="G27" s="3"/>
      <c r="H27" s="3"/>
      <c r="I27" s="3"/>
      <c r="J27" s="3"/>
      <c r="K27" s="3"/>
      <c r="L27" s="3"/>
      <c r="M27" s="3"/>
      <c r="N27" s="3"/>
      <c r="O27" s="3"/>
      <c r="P27" s="3"/>
      <c r="Q27" s="3"/>
      <c r="R27" s="3"/>
    </row>
    <row r="28" spans="1:18" x14ac:dyDescent="0.25">
      <c r="A28" s="3"/>
      <c r="B28" s="3"/>
      <c r="C28" s="3"/>
      <c r="D28" s="3"/>
      <c r="E28" s="3"/>
      <c r="F28" s="3"/>
      <c r="G28" s="3"/>
      <c r="H28" s="3"/>
      <c r="I28" s="3"/>
      <c r="J28" s="3"/>
      <c r="K28" s="3"/>
      <c r="L28" s="3"/>
      <c r="M28" s="3"/>
      <c r="N28" s="3"/>
      <c r="O28" s="3"/>
      <c r="P28" s="3"/>
      <c r="Q28" s="3"/>
      <c r="R28" s="3"/>
    </row>
    <row r="29" spans="1:18" x14ac:dyDescent="0.25">
      <c r="A29" s="3"/>
      <c r="B29" s="3"/>
      <c r="C29" s="3"/>
      <c r="D29" s="3"/>
      <c r="E29" s="3"/>
      <c r="F29" s="3"/>
      <c r="G29" s="3"/>
      <c r="H29" s="3"/>
      <c r="I29" s="3"/>
      <c r="J29" s="3"/>
      <c r="K29" s="3"/>
      <c r="L29" s="3"/>
      <c r="M29" s="3"/>
      <c r="N29" s="3"/>
      <c r="O29" s="3"/>
      <c r="P29" s="3"/>
      <c r="Q29" s="3"/>
      <c r="R29" s="3"/>
    </row>
    <row r="30" spans="1:18" x14ac:dyDescent="0.25">
      <c r="A30" s="3"/>
      <c r="B30" s="3"/>
      <c r="C30" s="3"/>
      <c r="D30" s="3"/>
      <c r="E30" s="3"/>
      <c r="F30" s="3"/>
      <c r="G30" s="3"/>
      <c r="H30" s="3"/>
      <c r="I30" s="3"/>
      <c r="J30" s="3"/>
      <c r="K30" s="3"/>
      <c r="L30" s="3"/>
      <c r="M30" s="3"/>
      <c r="N30" s="3"/>
      <c r="O30" s="3"/>
      <c r="P30" s="3"/>
      <c r="Q30" s="3"/>
      <c r="R30" s="3"/>
    </row>
    <row r="31" spans="1:18" x14ac:dyDescent="0.25">
      <c r="A31" s="3"/>
      <c r="B31" s="3"/>
      <c r="C31" s="3"/>
      <c r="D31" s="3"/>
      <c r="E31" s="3"/>
      <c r="F31" s="3"/>
      <c r="G31" s="3"/>
      <c r="H31" s="3"/>
      <c r="I31" s="3"/>
      <c r="J31" s="3"/>
      <c r="K31" s="3"/>
      <c r="L31" s="3"/>
      <c r="M31" s="3"/>
      <c r="N31" s="3"/>
      <c r="O31" s="3"/>
      <c r="P31" s="3"/>
      <c r="Q31" s="3"/>
      <c r="R31" s="3"/>
    </row>
    <row r="32" spans="1:18" x14ac:dyDescent="0.25">
      <c r="A32" s="3"/>
      <c r="B32" s="3"/>
      <c r="C32" s="3"/>
      <c r="D32" s="3"/>
      <c r="E32" s="3"/>
      <c r="F32" s="3"/>
      <c r="G32" s="3"/>
      <c r="H32" s="3"/>
      <c r="I32" s="3"/>
      <c r="J32" s="3"/>
      <c r="K32" s="3"/>
      <c r="L32" s="3"/>
      <c r="M32" s="3"/>
      <c r="N32" s="3"/>
      <c r="O32" s="3"/>
      <c r="P32" s="3"/>
      <c r="Q32" s="3"/>
      <c r="R32" s="3"/>
    </row>
    <row r="33" spans="1:18" x14ac:dyDescent="0.25">
      <c r="A33" s="3"/>
      <c r="B33" s="3"/>
      <c r="C33" s="3"/>
      <c r="D33" s="3"/>
      <c r="E33" s="3"/>
      <c r="F33" s="3"/>
      <c r="G33" s="3"/>
      <c r="H33" s="3"/>
      <c r="I33" s="3"/>
      <c r="J33" s="3"/>
      <c r="K33" s="3"/>
      <c r="L33" s="3"/>
      <c r="M33" s="3"/>
      <c r="N33" s="3"/>
      <c r="O33" s="3"/>
      <c r="P33" s="3"/>
      <c r="Q33" s="3"/>
      <c r="R33" s="3"/>
    </row>
    <row r="34" spans="1:18" x14ac:dyDescent="0.25">
      <c r="A34" s="3"/>
      <c r="B34" s="3"/>
      <c r="C34" s="3"/>
      <c r="D34" s="3"/>
      <c r="E34" s="3"/>
      <c r="F34" s="3"/>
      <c r="G34" s="3"/>
      <c r="H34" s="3"/>
      <c r="I34" s="3"/>
      <c r="J34" s="3"/>
      <c r="K34" s="3"/>
      <c r="L34" s="3"/>
      <c r="M34" s="3"/>
      <c r="N34" s="3"/>
      <c r="O34" s="3"/>
      <c r="P34" s="3"/>
      <c r="Q34" s="3"/>
      <c r="R34" s="3"/>
    </row>
  </sheetData>
  <pageMargins left="0.70866141732283472" right="0.70866141732283472" top="0.74803149606299213" bottom="0.74803149606299213" header="0.31496062992125984" footer="0.31496062992125984"/>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419100</xdr:colOff>
                    <xdr:row>1</xdr:row>
                    <xdr:rowOff>114300</xdr:rowOff>
                  </from>
                  <to>
                    <xdr:col>0</xdr:col>
                    <xdr:colOff>1485900</xdr:colOff>
                    <xdr:row>1</xdr:row>
                    <xdr:rowOff>523875</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3</xdr:col>
                    <xdr:colOff>619125</xdr:colOff>
                    <xdr:row>1</xdr:row>
                    <xdr:rowOff>123825</xdr:rowOff>
                  </from>
                  <to>
                    <xdr:col>3</xdr:col>
                    <xdr:colOff>1685925</xdr:colOff>
                    <xdr:row>1</xdr:row>
                    <xdr:rowOff>533400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581025</xdr:colOff>
                    <xdr:row>1</xdr:row>
                    <xdr:rowOff>152400</xdr:rowOff>
                  </from>
                  <to>
                    <xdr:col>6</xdr:col>
                    <xdr:colOff>1647825</xdr:colOff>
                    <xdr:row>1</xdr:row>
                    <xdr:rowOff>561975</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9</xdr:col>
                    <xdr:colOff>495300</xdr:colOff>
                    <xdr:row>1</xdr:row>
                    <xdr:rowOff>123825</xdr:rowOff>
                  </from>
                  <to>
                    <xdr:col>9</xdr:col>
                    <xdr:colOff>1562100</xdr:colOff>
                    <xdr:row>1</xdr:row>
                    <xdr:rowOff>533400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395BA-EABB-401B-BFBB-ADF291B7D927}">
  <sheetPr codeName="Sheet2">
    <pageSetUpPr autoPageBreaks="0"/>
  </sheetPr>
  <dimension ref="A1:M101"/>
  <sheetViews>
    <sheetView topLeftCell="A42" zoomScaleNormal="100" workbookViewId="0">
      <selection activeCell="C56" sqref="C56"/>
    </sheetView>
  </sheetViews>
  <sheetFormatPr defaultRowHeight="15" x14ac:dyDescent="0.25"/>
  <cols>
    <col min="1" max="1" width="12" customWidth="1"/>
    <col min="2" max="2" width="17.85546875" customWidth="1"/>
    <col min="3" max="3" width="14.5703125" customWidth="1"/>
    <col min="9" max="9" width="12.5703125" customWidth="1"/>
    <col min="11" max="11" width="19.28515625" bestFit="1" customWidth="1"/>
    <col min="12" max="12" width="21" customWidth="1"/>
  </cols>
  <sheetData>
    <row r="1" spans="1:13" x14ac:dyDescent="0.25">
      <c r="A1" s="1" t="s">
        <v>0</v>
      </c>
      <c r="B1" s="1" t="s">
        <v>1</v>
      </c>
      <c r="C1" s="1" t="s">
        <v>2</v>
      </c>
      <c r="D1" s="1" t="s">
        <v>3</v>
      </c>
      <c r="E1" s="1" t="s">
        <v>4</v>
      </c>
      <c r="F1" s="1" t="s">
        <v>5</v>
      </c>
      <c r="G1" s="1" t="s">
        <v>6</v>
      </c>
      <c r="H1" s="1" t="s">
        <v>7</v>
      </c>
      <c r="I1" s="1" t="s">
        <v>8</v>
      </c>
      <c r="J1" s="1" t="s">
        <v>9</v>
      </c>
      <c r="K1" s="1" t="s">
        <v>290</v>
      </c>
      <c r="L1" s="1" t="s">
        <v>291</v>
      </c>
      <c r="M1" s="2"/>
    </row>
    <row r="2" spans="1:13" x14ac:dyDescent="0.25">
      <c r="A2" t="s">
        <v>74</v>
      </c>
      <c r="B2" t="s">
        <v>174</v>
      </c>
      <c r="C2" t="s">
        <v>268</v>
      </c>
      <c r="D2">
        <v>81</v>
      </c>
      <c r="E2">
        <v>83</v>
      </c>
      <c r="F2">
        <v>82</v>
      </c>
      <c r="G2">
        <v>84</v>
      </c>
      <c r="H2">
        <v>80</v>
      </c>
      <c r="I2">
        <f>SUM(D2:D2:H2)</f>
        <v>410</v>
      </c>
      <c r="J2">
        <v>500</v>
      </c>
      <c r="K2">
        <f>Table2[[#This Row],[Total Sales]]*100/Table2[[#This Row],[Target]]</f>
        <v>82</v>
      </c>
      <c r="L2">
        <f t="shared" ref="L2:L33" si="0">100-K2</f>
        <v>18</v>
      </c>
    </row>
    <row r="3" spans="1:13" x14ac:dyDescent="0.25">
      <c r="A3" t="s">
        <v>22</v>
      </c>
      <c r="B3" t="s">
        <v>122</v>
      </c>
      <c r="C3" t="s">
        <v>221</v>
      </c>
      <c r="D3">
        <v>76</v>
      </c>
      <c r="E3">
        <v>79</v>
      </c>
      <c r="F3">
        <v>74</v>
      </c>
      <c r="G3">
        <v>78</v>
      </c>
      <c r="H3">
        <v>80</v>
      </c>
      <c r="I3">
        <f>SUM(D3:D3:H3)</f>
        <v>387</v>
      </c>
      <c r="J3">
        <v>500</v>
      </c>
      <c r="K3">
        <f>Table2[[#This Row],[Total Sales]]*100/Table2[[#This Row],[Target]]</f>
        <v>77.400000000000006</v>
      </c>
      <c r="L3">
        <f t="shared" si="0"/>
        <v>22.599999999999994</v>
      </c>
    </row>
    <row r="4" spans="1:13" x14ac:dyDescent="0.25">
      <c r="A4" t="s">
        <v>94</v>
      </c>
      <c r="B4" t="s">
        <v>194</v>
      </c>
      <c r="C4" t="s">
        <v>276</v>
      </c>
      <c r="D4">
        <v>85</v>
      </c>
      <c r="E4">
        <v>87</v>
      </c>
      <c r="F4">
        <v>84</v>
      </c>
      <c r="G4">
        <v>86</v>
      </c>
      <c r="H4">
        <v>88</v>
      </c>
      <c r="I4">
        <f>SUM(D4:D4:H4)</f>
        <v>430</v>
      </c>
      <c r="J4">
        <v>500</v>
      </c>
      <c r="K4">
        <f>Table2[[#This Row],[Total Sales]]*100/Table2[[#This Row],[Target]]</f>
        <v>86</v>
      </c>
      <c r="L4">
        <f t="shared" si="0"/>
        <v>14</v>
      </c>
    </row>
    <row r="5" spans="1:13" x14ac:dyDescent="0.25">
      <c r="A5" t="s">
        <v>92</v>
      </c>
      <c r="B5" t="s">
        <v>192</v>
      </c>
      <c r="C5" t="s">
        <v>274</v>
      </c>
      <c r="D5">
        <v>74</v>
      </c>
      <c r="E5">
        <v>72</v>
      </c>
      <c r="F5">
        <v>75</v>
      </c>
      <c r="G5">
        <v>73</v>
      </c>
      <c r="H5">
        <v>71</v>
      </c>
      <c r="I5">
        <f>SUM(D5:D5:H5)</f>
        <v>365</v>
      </c>
      <c r="J5">
        <v>500</v>
      </c>
      <c r="K5">
        <f>Table2[[#This Row],[Total Sales]]*100/Table2[[#This Row],[Target]]</f>
        <v>73</v>
      </c>
      <c r="L5">
        <f t="shared" si="0"/>
        <v>27</v>
      </c>
    </row>
    <row r="6" spans="1:13" x14ac:dyDescent="0.25">
      <c r="A6" t="s">
        <v>67</v>
      </c>
      <c r="B6" t="s">
        <v>167</v>
      </c>
      <c r="C6" t="s">
        <v>261</v>
      </c>
      <c r="D6">
        <v>78</v>
      </c>
      <c r="E6">
        <v>80</v>
      </c>
      <c r="F6">
        <v>77</v>
      </c>
      <c r="G6">
        <v>79</v>
      </c>
      <c r="H6">
        <v>81</v>
      </c>
      <c r="I6">
        <f>SUM(D6:D6:H6)</f>
        <v>395</v>
      </c>
      <c r="J6">
        <v>500</v>
      </c>
      <c r="K6">
        <f>Table2[[#This Row],[Total Sales]]*100/Table2[[#This Row],[Target]]</f>
        <v>79</v>
      </c>
      <c r="L6">
        <f t="shared" si="0"/>
        <v>21</v>
      </c>
    </row>
    <row r="7" spans="1:13" x14ac:dyDescent="0.25">
      <c r="A7" t="s">
        <v>51</v>
      </c>
      <c r="B7" t="s">
        <v>151</v>
      </c>
      <c r="C7" t="s">
        <v>247</v>
      </c>
      <c r="D7">
        <v>79</v>
      </c>
      <c r="E7">
        <v>81</v>
      </c>
      <c r="F7">
        <v>78</v>
      </c>
      <c r="G7">
        <v>80</v>
      </c>
      <c r="H7">
        <v>82</v>
      </c>
      <c r="I7">
        <f>SUM(D7:D7:H7)</f>
        <v>400</v>
      </c>
      <c r="J7">
        <v>500</v>
      </c>
      <c r="K7">
        <f>Table2[[#This Row],[Total Sales]]*100/Table2[[#This Row],[Target]]</f>
        <v>80</v>
      </c>
      <c r="L7">
        <f t="shared" si="0"/>
        <v>20</v>
      </c>
    </row>
    <row r="8" spans="1:13" x14ac:dyDescent="0.25">
      <c r="A8" t="s">
        <v>64</v>
      </c>
      <c r="B8" t="s">
        <v>164</v>
      </c>
      <c r="C8" t="s">
        <v>258</v>
      </c>
      <c r="D8">
        <v>73</v>
      </c>
      <c r="E8">
        <v>75</v>
      </c>
      <c r="F8">
        <v>72</v>
      </c>
      <c r="G8">
        <v>74</v>
      </c>
      <c r="H8">
        <v>76</v>
      </c>
      <c r="I8">
        <f>SUM(D8:D8:H8)</f>
        <v>370</v>
      </c>
      <c r="J8">
        <v>500</v>
      </c>
      <c r="K8">
        <f>Table2[[#This Row],[Total Sales]]*100/Table2[[#This Row],[Target]]</f>
        <v>74</v>
      </c>
      <c r="L8">
        <f t="shared" si="0"/>
        <v>26</v>
      </c>
    </row>
    <row r="9" spans="1:13" x14ac:dyDescent="0.25">
      <c r="A9" t="s">
        <v>72</v>
      </c>
      <c r="B9" t="s">
        <v>172</v>
      </c>
      <c r="C9" t="s">
        <v>266</v>
      </c>
      <c r="D9">
        <v>88</v>
      </c>
      <c r="E9">
        <v>86</v>
      </c>
      <c r="F9">
        <v>89</v>
      </c>
      <c r="G9">
        <v>87</v>
      </c>
      <c r="H9">
        <v>85</v>
      </c>
      <c r="I9">
        <f>SUM(D9:D9:H9)</f>
        <v>435</v>
      </c>
      <c r="J9">
        <v>500</v>
      </c>
      <c r="K9">
        <f>Table2[[#This Row],[Total Sales]]*100/Table2[[#This Row],[Target]]</f>
        <v>87</v>
      </c>
      <c r="L9">
        <f t="shared" si="0"/>
        <v>13</v>
      </c>
    </row>
    <row r="10" spans="1:13" x14ac:dyDescent="0.25">
      <c r="A10" t="s">
        <v>76</v>
      </c>
      <c r="B10" t="s">
        <v>176</v>
      </c>
      <c r="C10" t="s">
        <v>230</v>
      </c>
      <c r="D10">
        <v>90</v>
      </c>
      <c r="E10">
        <v>92</v>
      </c>
      <c r="F10">
        <v>91</v>
      </c>
      <c r="G10">
        <v>93</v>
      </c>
      <c r="H10">
        <v>89</v>
      </c>
      <c r="I10">
        <f>SUM(D10:D10:H10)</f>
        <v>455</v>
      </c>
      <c r="J10">
        <v>500</v>
      </c>
      <c r="K10">
        <f>Table2[[#This Row],[Total Sales]]*100/Table2[[#This Row],[Target]]</f>
        <v>91</v>
      </c>
      <c r="L10">
        <f t="shared" si="0"/>
        <v>9</v>
      </c>
    </row>
    <row r="11" spans="1:13" x14ac:dyDescent="0.25">
      <c r="A11" t="s">
        <v>31</v>
      </c>
      <c r="B11" t="s">
        <v>131</v>
      </c>
      <c r="C11" t="s">
        <v>230</v>
      </c>
      <c r="D11">
        <v>85</v>
      </c>
      <c r="E11">
        <v>88</v>
      </c>
      <c r="F11">
        <v>84</v>
      </c>
      <c r="G11">
        <v>87</v>
      </c>
      <c r="H11">
        <v>86</v>
      </c>
      <c r="I11">
        <f>SUM(D11:D11:H11)</f>
        <v>430</v>
      </c>
      <c r="J11">
        <v>500</v>
      </c>
      <c r="K11">
        <f>Table2[[#This Row],[Total Sales]]*100/Table2[[#This Row],[Target]]</f>
        <v>86</v>
      </c>
      <c r="L11">
        <f t="shared" si="0"/>
        <v>14</v>
      </c>
    </row>
    <row r="12" spans="1:13" x14ac:dyDescent="0.25">
      <c r="A12" t="s">
        <v>99</v>
      </c>
      <c r="B12" t="s">
        <v>199</v>
      </c>
      <c r="C12" t="s">
        <v>280</v>
      </c>
      <c r="D12">
        <v>89</v>
      </c>
      <c r="E12">
        <v>91</v>
      </c>
      <c r="F12">
        <v>88</v>
      </c>
      <c r="G12">
        <v>90</v>
      </c>
      <c r="H12">
        <v>92</v>
      </c>
      <c r="I12">
        <f>SUM(D12:D12:H12)</f>
        <v>450</v>
      </c>
      <c r="J12">
        <v>500</v>
      </c>
      <c r="K12">
        <f>Table2[[#This Row],[Total Sales]]*100/Table2[[#This Row],[Target]]</f>
        <v>90</v>
      </c>
      <c r="L12">
        <f t="shared" si="0"/>
        <v>10</v>
      </c>
    </row>
    <row r="13" spans="1:13" x14ac:dyDescent="0.25">
      <c r="A13" t="s">
        <v>93</v>
      </c>
      <c r="B13" t="s">
        <v>193</v>
      </c>
      <c r="C13" t="s">
        <v>275</v>
      </c>
      <c r="D13">
        <v>90</v>
      </c>
      <c r="E13">
        <v>92</v>
      </c>
      <c r="F13">
        <v>91</v>
      </c>
      <c r="G13">
        <v>93</v>
      </c>
      <c r="H13">
        <v>89</v>
      </c>
      <c r="I13">
        <f>SUM(D13:D13:H13)</f>
        <v>455</v>
      </c>
      <c r="J13">
        <v>500</v>
      </c>
      <c r="K13">
        <f>Table2[[#This Row],[Total Sales]]*100/Table2[[#This Row],[Target]]</f>
        <v>91</v>
      </c>
      <c r="L13">
        <f t="shared" si="0"/>
        <v>9</v>
      </c>
    </row>
    <row r="14" spans="1:13" x14ac:dyDescent="0.25">
      <c r="A14" t="s">
        <v>60</v>
      </c>
      <c r="B14" t="s">
        <v>160</v>
      </c>
      <c r="C14" t="s">
        <v>228</v>
      </c>
      <c r="D14">
        <v>87</v>
      </c>
      <c r="E14">
        <v>85</v>
      </c>
      <c r="F14">
        <v>88</v>
      </c>
      <c r="G14">
        <v>86</v>
      </c>
      <c r="H14">
        <v>84</v>
      </c>
      <c r="I14">
        <f>SUM(D14:D14:H14)</f>
        <v>430</v>
      </c>
      <c r="J14">
        <v>500</v>
      </c>
      <c r="K14">
        <f>Table2[[#This Row],[Total Sales]]*100/Table2[[#This Row],[Target]]</f>
        <v>86</v>
      </c>
      <c r="L14">
        <f t="shared" si="0"/>
        <v>14</v>
      </c>
    </row>
    <row r="15" spans="1:13" x14ac:dyDescent="0.25">
      <c r="A15" t="s">
        <v>29</v>
      </c>
      <c r="B15" t="s">
        <v>129</v>
      </c>
      <c r="C15" t="s">
        <v>228</v>
      </c>
      <c r="D15">
        <v>93</v>
      </c>
      <c r="E15">
        <v>95</v>
      </c>
      <c r="F15">
        <v>91</v>
      </c>
      <c r="G15">
        <v>94</v>
      </c>
      <c r="H15">
        <v>92</v>
      </c>
      <c r="I15">
        <f>SUM(D15:D15:H15)</f>
        <v>465</v>
      </c>
      <c r="J15">
        <v>500</v>
      </c>
      <c r="K15">
        <f>Table2[[#This Row],[Total Sales]]*100/Table2[[#This Row],[Target]]</f>
        <v>93</v>
      </c>
      <c r="L15">
        <f t="shared" si="0"/>
        <v>7</v>
      </c>
    </row>
    <row r="16" spans="1:13" x14ac:dyDescent="0.25">
      <c r="A16" t="s">
        <v>57</v>
      </c>
      <c r="B16" t="s">
        <v>157</v>
      </c>
      <c r="C16" t="s">
        <v>252</v>
      </c>
      <c r="D16">
        <v>81</v>
      </c>
      <c r="E16">
        <v>83</v>
      </c>
      <c r="F16">
        <v>82</v>
      </c>
      <c r="G16">
        <v>84</v>
      </c>
      <c r="H16">
        <v>80</v>
      </c>
      <c r="I16">
        <f>SUM(D16:D16:H16)</f>
        <v>410</v>
      </c>
      <c r="J16">
        <v>500</v>
      </c>
      <c r="K16">
        <f>Table2[[#This Row],[Total Sales]]*100/Table2[[#This Row],[Target]]</f>
        <v>82</v>
      </c>
      <c r="L16">
        <f t="shared" si="0"/>
        <v>18</v>
      </c>
    </row>
    <row r="17" spans="1:12" x14ac:dyDescent="0.25">
      <c r="A17" t="s">
        <v>13</v>
      </c>
      <c r="B17" t="s">
        <v>113</v>
      </c>
      <c r="C17" t="s">
        <v>212</v>
      </c>
      <c r="D17">
        <v>68</v>
      </c>
      <c r="E17">
        <v>72</v>
      </c>
      <c r="F17">
        <v>80</v>
      </c>
      <c r="G17">
        <v>75</v>
      </c>
      <c r="H17">
        <v>78</v>
      </c>
      <c r="I17">
        <f>SUM(D17:D17:H17)</f>
        <v>373</v>
      </c>
      <c r="J17">
        <v>500</v>
      </c>
      <c r="K17">
        <f>Table2[[#This Row],[Total Sales]]*100/Table2[[#This Row],[Target]]</f>
        <v>74.599999999999994</v>
      </c>
      <c r="L17">
        <f t="shared" si="0"/>
        <v>25.400000000000006</v>
      </c>
    </row>
    <row r="18" spans="1:12" x14ac:dyDescent="0.25">
      <c r="A18" t="s">
        <v>36</v>
      </c>
      <c r="B18" t="s">
        <v>136</v>
      </c>
      <c r="C18" t="s">
        <v>235</v>
      </c>
      <c r="D18">
        <v>94</v>
      </c>
      <c r="E18">
        <v>96</v>
      </c>
      <c r="F18">
        <v>95</v>
      </c>
      <c r="G18">
        <v>93</v>
      </c>
      <c r="H18">
        <v>92</v>
      </c>
      <c r="I18">
        <f>SUM(D18:D18:H18)</f>
        <v>470</v>
      </c>
      <c r="J18">
        <v>500</v>
      </c>
      <c r="K18">
        <f>Table2[[#This Row],[Total Sales]]*100/Table2[[#This Row],[Target]]</f>
        <v>94</v>
      </c>
      <c r="L18">
        <f t="shared" si="0"/>
        <v>6</v>
      </c>
    </row>
    <row r="19" spans="1:12" x14ac:dyDescent="0.25">
      <c r="A19" t="s">
        <v>77</v>
      </c>
      <c r="B19" t="s">
        <v>177</v>
      </c>
      <c r="C19" t="s">
        <v>235</v>
      </c>
      <c r="D19">
        <v>85</v>
      </c>
      <c r="E19">
        <v>87</v>
      </c>
      <c r="F19">
        <v>84</v>
      </c>
      <c r="G19">
        <v>86</v>
      </c>
      <c r="H19">
        <v>88</v>
      </c>
      <c r="I19">
        <f>SUM(D19:D19:H19)</f>
        <v>430</v>
      </c>
      <c r="J19">
        <v>500</v>
      </c>
      <c r="K19">
        <f>Table2[[#This Row],[Total Sales]]*100/Table2[[#This Row],[Target]]</f>
        <v>86</v>
      </c>
      <c r="L19">
        <f t="shared" si="0"/>
        <v>14</v>
      </c>
    </row>
    <row r="20" spans="1:12" x14ac:dyDescent="0.25">
      <c r="A20" t="s">
        <v>37</v>
      </c>
      <c r="B20" t="s">
        <v>137</v>
      </c>
      <c r="C20" t="s">
        <v>236</v>
      </c>
      <c r="D20">
        <v>81</v>
      </c>
      <c r="E20">
        <v>79</v>
      </c>
      <c r="F20">
        <v>82</v>
      </c>
      <c r="G20">
        <v>80</v>
      </c>
      <c r="H20">
        <v>83</v>
      </c>
      <c r="I20">
        <f>SUM(D20:D20:H20)</f>
        <v>405</v>
      </c>
      <c r="J20">
        <v>500</v>
      </c>
      <c r="K20">
        <f>Table2[[#This Row],[Total Sales]]*100/Table2[[#This Row],[Target]]</f>
        <v>81</v>
      </c>
      <c r="L20">
        <f t="shared" si="0"/>
        <v>19</v>
      </c>
    </row>
    <row r="21" spans="1:12" x14ac:dyDescent="0.25">
      <c r="A21" t="s">
        <v>106</v>
      </c>
      <c r="B21" t="s">
        <v>206</v>
      </c>
      <c r="C21" t="s">
        <v>287</v>
      </c>
      <c r="D21">
        <v>45</v>
      </c>
      <c r="E21">
        <v>88</v>
      </c>
      <c r="F21">
        <v>49</v>
      </c>
      <c r="G21">
        <v>78</v>
      </c>
      <c r="H21">
        <v>98</v>
      </c>
      <c r="I21">
        <f>SUM(D21:D21:H21)</f>
        <v>358</v>
      </c>
      <c r="J21">
        <v>500</v>
      </c>
      <c r="K21">
        <f>Table2[[#This Row],[Total Sales]]*100/Table2[[#This Row],[Target]]</f>
        <v>71.599999999999994</v>
      </c>
      <c r="L21">
        <f t="shared" si="0"/>
        <v>28.400000000000006</v>
      </c>
    </row>
    <row r="22" spans="1:12" x14ac:dyDescent="0.25">
      <c r="A22" t="s">
        <v>18</v>
      </c>
      <c r="B22" t="s">
        <v>118</v>
      </c>
      <c r="C22" t="s">
        <v>217</v>
      </c>
      <c r="D22">
        <v>86</v>
      </c>
      <c r="E22">
        <v>81</v>
      </c>
      <c r="F22">
        <v>79</v>
      </c>
      <c r="G22">
        <v>83</v>
      </c>
      <c r="H22">
        <v>85</v>
      </c>
      <c r="I22">
        <f>SUM(D22:D22:H22)</f>
        <v>414</v>
      </c>
      <c r="J22">
        <v>500</v>
      </c>
      <c r="K22">
        <f>Table2[[#This Row],[Total Sales]]*100/Table2[[#This Row],[Target]]</f>
        <v>82.8</v>
      </c>
      <c r="L22">
        <f t="shared" si="0"/>
        <v>17.200000000000003</v>
      </c>
    </row>
    <row r="23" spans="1:12" x14ac:dyDescent="0.25">
      <c r="A23" t="s">
        <v>83</v>
      </c>
      <c r="B23" t="s">
        <v>183</v>
      </c>
      <c r="C23" t="s">
        <v>209</v>
      </c>
      <c r="D23">
        <v>96</v>
      </c>
      <c r="E23">
        <v>94</v>
      </c>
      <c r="F23">
        <v>97</v>
      </c>
      <c r="G23">
        <v>95</v>
      </c>
      <c r="H23">
        <v>93</v>
      </c>
      <c r="I23">
        <f>SUM(D23:D23:H23)</f>
        <v>475</v>
      </c>
      <c r="J23">
        <v>500</v>
      </c>
      <c r="K23">
        <f>Table2[[#This Row],[Total Sales]]*100/Table2[[#This Row],[Target]]</f>
        <v>95</v>
      </c>
      <c r="L23">
        <f t="shared" si="0"/>
        <v>5</v>
      </c>
    </row>
    <row r="24" spans="1:12" x14ac:dyDescent="0.25">
      <c r="A24" t="s">
        <v>10</v>
      </c>
      <c r="B24" t="s">
        <v>110</v>
      </c>
      <c r="C24" t="s">
        <v>209</v>
      </c>
      <c r="D24">
        <v>89</v>
      </c>
      <c r="E24">
        <v>76</v>
      </c>
      <c r="F24">
        <v>92</v>
      </c>
      <c r="G24">
        <v>81</v>
      </c>
      <c r="H24">
        <v>88</v>
      </c>
      <c r="I24">
        <f>SUM(D24:D24:H24)</f>
        <v>426</v>
      </c>
      <c r="J24">
        <v>500</v>
      </c>
      <c r="K24">
        <f>Table2[[#This Row],[Total Sales]]*100/Table2[[#This Row],[Target]]</f>
        <v>85.2</v>
      </c>
      <c r="L24">
        <f t="shared" si="0"/>
        <v>14.799999999999997</v>
      </c>
    </row>
    <row r="25" spans="1:12" x14ac:dyDescent="0.25">
      <c r="A25" t="s">
        <v>47</v>
      </c>
      <c r="B25" t="s">
        <v>147</v>
      </c>
      <c r="C25" t="s">
        <v>244</v>
      </c>
      <c r="D25">
        <v>82</v>
      </c>
      <c r="E25">
        <v>84</v>
      </c>
      <c r="F25">
        <v>85</v>
      </c>
      <c r="G25">
        <v>83</v>
      </c>
      <c r="H25">
        <v>81</v>
      </c>
      <c r="I25">
        <f>SUM(D25:D25:H25)</f>
        <v>415</v>
      </c>
      <c r="J25">
        <v>500</v>
      </c>
      <c r="K25">
        <f>Table2[[#This Row],[Total Sales]]*100/Table2[[#This Row],[Target]]</f>
        <v>83</v>
      </c>
      <c r="L25">
        <f t="shared" si="0"/>
        <v>17</v>
      </c>
    </row>
    <row r="26" spans="1:12" x14ac:dyDescent="0.25">
      <c r="A26" t="s">
        <v>88</v>
      </c>
      <c r="B26" t="s">
        <v>188</v>
      </c>
      <c r="C26" t="s">
        <v>271</v>
      </c>
      <c r="D26">
        <v>76</v>
      </c>
      <c r="E26">
        <v>78</v>
      </c>
      <c r="F26">
        <v>75</v>
      </c>
      <c r="G26">
        <v>77</v>
      </c>
      <c r="H26">
        <v>79</v>
      </c>
      <c r="I26">
        <f>SUM(D26:D26:H26)</f>
        <v>385</v>
      </c>
      <c r="J26">
        <v>500</v>
      </c>
      <c r="K26">
        <f>Table2[[#This Row],[Total Sales]]*100/Table2[[#This Row],[Target]]</f>
        <v>77</v>
      </c>
      <c r="L26">
        <f t="shared" si="0"/>
        <v>23</v>
      </c>
    </row>
    <row r="27" spans="1:12" x14ac:dyDescent="0.25">
      <c r="A27" t="s">
        <v>101</v>
      </c>
      <c r="B27" t="s">
        <v>201</v>
      </c>
      <c r="C27" t="s">
        <v>282</v>
      </c>
      <c r="D27">
        <v>78</v>
      </c>
      <c r="E27">
        <v>80</v>
      </c>
      <c r="F27">
        <v>77</v>
      </c>
      <c r="G27">
        <v>79</v>
      </c>
      <c r="H27">
        <v>81</v>
      </c>
      <c r="I27">
        <f>SUM(D27:D27:H27)</f>
        <v>395</v>
      </c>
      <c r="J27">
        <v>500</v>
      </c>
      <c r="K27">
        <f>Table2[[#This Row],[Total Sales]]*100/Table2[[#This Row],[Target]]</f>
        <v>79</v>
      </c>
      <c r="L27">
        <f t="shared" si="0"/>
        <v>21</v>
      </c>
    </row>
    <row r="28" spans="1:12" x14ac:dyDescent="0.25">
      <c r="A28" t="s">
        <v>90</v>
      </c>
      <c r="B28" t="s">
        <v>190</v>
      </c>
      <c r="C28" t="s">
        <v>272</v>
      </c>
      <c r="D28">
        <v>94</v>
      </c>
      <c r="E28">
        <v>96</v>
      </c>
      <c r="F28">
        <v>95</v>
      </c>
      <c r="G28">
        <v>97</v>
      </c>
      <c r="H28">
        <v>93</v>
      </c>
      <c r="I28">
        <f>SUM(D28:D28:H28)</f>
        <v>475</v>
      </c>
      <c r="J28">
        <v>500</v>
      </c>
      <c r="K28">
        <f>Table2[[#This Row],[Total Sales]]*100/Table2[[#This Row],[Target]]</f>
        <v>95</v>
      </c>
      <c r="L28">
        <f t="shared" si="0"/>
        <v>5</v>
      </c>
    </row>
    <row r="29" spans="1:12" x14ac:dyDescent="0.25">
      <c r="A29" t="s">
        <v>97</v>
      </c>
      <c r="B29" t="s">
        <v>197</v>
      </c>
      <c r="C29" t="s">
        <v>278</v>
      </c>
      <c r="D29">
        <v>82</v>
      </c>
      <c r="E29">
        <v>84</v>
      </c>
      <c r="F29">
        <v>81</v>
      </c>
      <c r="G29">
        <v>83</v>
      </c>
      <c r="H29">
        <v>85</v>
      </c>
      <c r="I29">
        <f>SUM(D29:D29:H29)</f>
        <v>415</v>
      </c>
      <c r="J29">
        <v>500</v>
      </c>
      <c r="K29">
        <f>Table2[[#This Row],[Total Sales]]*100/Table2[[#This Row],[Target]]</f>
        <v>83</v>
      </c>
      <c r="L29">
        <f t="shared" si="0"/>
        <v>17</v>
      </c>
    </row>
    <row r="30" spans="1:12" x14ac:dyDescent="0.25">
      <c r="A30" t="s">
        <v>45</v>
      </c>
      <c r="B30" t="s">
        <v>145</v>
      </c>
      <c r="C30" t="s">
        <v>242</v>
      </c>
      <c r="D30">
        <v>75</v>
      </c>
      <c r="E30">
        <v>74</v>
      </c>
      <c r="F30">
        <v>78</v>
      </c>
      <c r="G30">
        <v>76</v>
      </c>
      <c r="H30">
        <v>77</v>
      </c>
      <c r="I30">
        <f>SUM(D30:D30:H30)</f>
        <v>380</v>
      </c>
      <c r="J30">
        <v>500</v>
      </c>
      <c r="K30">
        <f>Table2[[#This Row],[Total Sales]]*100/Table2[[#This Row],[Target]]</f>
        <v>76</v>
      </c>
      <c r="L30">
        <f t="shared" si="0"/>
        <v>24</v>
      </c>
    </row>
    <row r="31" spans="1:12" x14ac:dyDescent="0.25">
      <c r="A31" t="s">
        <v>104</v>
      </c>
      <c r="B31" t="s">
        <v>204</v>
      </c>
      <c r="C31" t="s">
        <v>285</v>
      </c>
      <c r="D31">
        <v>92</v>
      </c>
      <c r="E31">
        <v>90</v>
      </c>
      <c r="F31">
        <v>93</v>
      </c>
      <c r="G31">
        <v>91</v>
      </c>
      <c r="H31">
        <v>94</v>
      </c>
      <c r="I31">
        <f>SUM(D31:D31:H31)</f>
        <v>460</v>
      </c>
      <c r="J31">
        <v>500</v>
      </c>
      <c r="K31">
        <f>Table2[[#This Row],[Total Sales]]*100/Table2[[#This Row],[Target]]</f>
        <v>92</v>
      </c>
      <c r="L31">
        <f t="shared" si="0"/>
        <v>8</v>
      </c>
    </row>
    <row r="32" spans="1:12" x14ac:dyDescent="0.25">
      <c r="A32" t="s">
        <v>12</v>
      </c>
      <c r="B32" t="s">
        <v>112</v>
      </c>
      <c r="C32" t="s">
        <v>211</v>
      </c>
      <c r="D32">
        <v>91</v>
      </c>
      <c r="E32">
        <v>88</v>
      </c>
      <c r="F32">
        <v>84</v>
      </c>
      <c r="G32">
        <v>77</v>
      </c>
      <c r="H32">
        <v>95</v>
      </c>
      <c r="I32">
        <f>SUM(D32:D32:H32)</f>
        <v>435</v>
      </c>
      <c r="J32">
        <v>500</v>
      </c>
      <c r="K32">
        <f>Table2[[#This Row],[Total Sales]]*100/Table2[[#This Row],[Target]]</f>
        <v>87</v>
      </c>
      <c r="L32">
        <f t="shared" si="0"/>
        <v>13</v>
      </c>
    </row>
    <row r="33" spans="1:12" x14ac:dyDescent="0.25">
      <c r="A33" t="s">
        <v>52</v>
      </c>
      <c r="B33" t="s">
        <v>152</v>
      </c>
      <c r="C33" t="s">
        <v>248</v>
      </c>
      <c r="D33">
        <v>85</v>
      </c>
      <c r="E33">
        <v>83</v>
      </c>
      <c r="F33">
        <v>86</v>
      </c>
      <c r="G33">
        <v>84</v>
      </c>
      <c r="H33">
        <v>87</v>
      </c>
      <c r="I33">
        <f>SUM(D33:D33:H33)</f>
        <v>425</v>
      </c>
      <c r="J33">
        <v>500</v>
      </c>
      <c r="K33">
        <f>Table2[[#This Row],[Total Sales]]*100/Table2[[#This Row],[Target]]</f>
        <v>85</v>
      </c>
      <c r="L33">
        <f t="shared" si="0"/>
        <v>15</v>
      </c>
    </row>
    <row r="34" spans="1:12" x14ac:dyDescent="0.25">
      <c r="A34" t="s">
        <v>68</v>
      </c>
      <c r="B34" t="s">
        <v>168</v>
      </c>
      <c r="C34" t="s">
        <v>262</v>
      </c>
      <c r="D34">
        <v>86</v>
      </c>
      <c r="E34">
        <v>84</v>
      </c>
      <c r="F34">
        <v>87</v>
      </c>
      <c r="G34">
        <v>85</v>
      </c>
      <c r="H34">
        <v>83</v>
      </c>
      <c r="I34">
        <f>SUM(D34:D34:H34)</f>
        <v>425</v>
      </c>
      <c r="J34">
        <v>500</v>
      </c>
      <c r="K34">
        <f>Table2[[#This Row],[Total Sales]]*100/Table2[[#This Row],[Target]]</f>
        <v>85</v>
      </c>
      <c r="L34">
        <f t="shared" ref="L34:L65" si="1">100-K34</f>
        <v>15</v>
      </c>
    </row>
    <row r="35" spans="1:12" x14ac:dyDescent="0.25">
      <c r="A35" t="s">
        <v>49</v>
      </c>
      <c r="B35" t="s">
        <v>149</v>
      </c>
      <c r="C35" t="s">
        <v>245</v>
      </c>
      <c r="D35">
        <v>71</v>
      </c>
      <c r="E35">
        <v>73</v>
      </c>
      <c r="F35">
        <v>70</v>
      </c>
      <c r="G35">
        <v>72</v>
      </c>
      <c r="H35">
        <v>74</v>
      </c>
      <c r="I35">
        <f>SUM(D35:D35:H35)</f>
        <v>360</v>
      </c>
      <c r="J35">
        <v>500</v>
      </c>
      <c r="K35">
        <f>Table2[[#This Row],[Total Sales]]*100/Table2[[#This Row],[Target]]</f>
        <v>72</v>
      </c>
      <c r="L35">
        <f t="shared" si="1"/>
        <v>28</v>
      </c>
    </row>
    <row r="36" spans="1:12" x14ac:dyDescent="0.25">
      <c r="A36" t="s">
        <v>105</v>
      </c>
      <c r="B36" t="s">
        <v>205</v>
      </c>
      <c r="C36" t="s">
        <v>286</v>
      </c>
      <c r="D36">
        <v>75</v>
      </c>
      <c r="E36">
        <v>56</v>
      </c>
      <c r="F36">
        <v>67</v>
      </c>
      <c r="G36">
        <v>45</v>
      </c>
      <c r="H36">
        <v>89</v>
      </c>
      <c r="I36">
        <f>SUM(D36:D36:H36)</f>
        <v>332</v>
      </c>
      <c r="J36">
        <v>500</v>
      </c>
      <c r="K36">
        <f>Table2[[#This Row],[Total Sales]]*100/Table2[[#This Row],[Target]]</f>
        <v>66.400000000000006</v>
      </c>
      <c r="L36">
        <f t="shared" si="1"/>
        <v>33.599999999999994</v>
      </c>
    </row>
    <row r="37" spans="1:12" x14ac:dyDescent="0.25">
      <c r="A37" t="s">
        <v>30</v>
      </c>
      <c r="B37" t="s">
        <v>130</v>
      </c>
      <c r="C37" t="s">
        <v>229</v>
      </c>
      <c r="D37">
        <v>72</v>
      </c>
      <c r="E37">
        <v>70</v>
      </c>
      <c r="F37">
        <v>68</v>
      </c>
      <c r="G37">
        <v>71</v>
      </c>
      <c r="H37">
        <v>69</v>
      </c>
      <c r="I37">
        <f>SUM(D37:D37:H37)</f>
        <v>350</v>
      </c>
      <c r="J37">
        <v>500</v>
      </c>
      <c r="K37">
        <f>Table2[[#This Row],[Total Sales]]*100/Table2[[#This Row],[Target]]</f>
        <v>70</v>
      </c>
      <c r="L37">
        <f t="shared" si="1"/>
        <v>30</v>
      </c>
    </row>
    <row r="38" spans="1:12" x14ac:dyDescent="0.25">
      <c r="A38" t="s">
        <v>28</v>
      </c>
      <c r="B38" t="s">
        <v>128</v>
      </c>
      <c r="C38" t="s">
        <v>227</v>
      </c>
      <c r="D38">
        <v>89</v>
      </c>
      <c r="E38">
        <v>87</v>
      </c>
      <c r="F38">
        <v>86</v>
      </c>
      <c r="G38">
        <v>90</v>
      </c>
      <c r="H38">
        <v>88</v>
      </c>
      <c r="I38">
        <f>SUM(D38:D38:H38)</f>
        <v>440</v>
      </c>
      <c r="J38">
        <v>500</v>
      </c>
      <c r="K38">
        <f>Table2[[#This Row],[Total Sales]]*100/Table2[[#This Row],[Target]]</f>
        <v>88</v>
      </c>
      <c r="L38">
        <f t="shared" si="1"/>
        <v>12</v>
      </c>
    </row>
    <row r="39" spans="1:12" x14ac:dyDescent="0.25">
      <c r="A39" t="s">
        <v>81</v>
      </c>
      <c r="B39" t="s">
        <v>181</v>
      </c>
      <c r="C39" t="s">
        <v>227</v>
      </c>
      <c r="D39">
        <v>73</v>
      </c>
      <c r="E39">
        <v>75</v>
      </c>
      <c r="F39">
        <v>72</v>
      </c>
      <c r="G39">
        <v>74</v>
      </c>
      <c r="H39">
        <v>76</v>
      </c>
      <c r="I39">
        <f>SUM(D39:D39:H39)</f>
        <v>370</v>
      </c>
      <c r="J39">
        <v>500</v>
      </c>
      <c r="K39">
        <f>Table2[[#This Row],[Total Sales]]*100/Table2[[#This Row],[Target]]</f>
        <v>74</v>
      </c>
      <c r="L39">
        <f t="shared" si="1"/>
        <v>26</v>
      </c>
    </row>
    <row r="40" spans="1:12" x14ac:dyDescent="0.25">
      <c r="A40" t="s">
        <v>61</v>
      </c>
      <c r="B40" t="s">
        <v>161</v>
      </c>
      <c r="C40" t="s">
        <v>255</v>
      </c>
      <c r="D40">
        <v>79</v>
      </c>
      <c r="E40">
        <v>77</v>
      </c>
      <c r="F40">
        <v>80</v>
      </c>
      <c r="G40">
        <v>78</v>
      </c>
      <c r="H40">
        <v>76</v>
      </c>
      <c r="I40">
        <f>SUM(D40:D40:H40)</f>
        <v>390</v>
      </c>
      <c r="J40">
        <v>500</v>
      </c>
      <c r="K40">
        <f>Table2[[#This Row],[Total Sales]]*100/Table2[[#This Row],[Target]]</f>
        <v>78</v>
      </c>
      <c r="L40">
        <f t="shared" si="1"/>
        <v>22</v>
      </c>
    </row>
    <row r="41" spans="1:12" x14ac:dyDescent="0.25">
      <c r="A41" t="s">
        <v>82</v>
      </c>
      <c r="B41" t="s">
        <v>182</v>
      </c>
      <c r="C41" t="s">
        <v>214</v>
      </c>
      <c r="D41">
        <v>89</v>
      </c>
      <c r="E41">
        <v>91</v>
      </c>
      <c r="F41">
        <v>88</v>
      </c>
      <c r="G41">
        <v>90</v>
      </c>
      <c r="H41">
        <v>92</v>
      </c>
      <c r="I41">
        <f>SUM(D41:D41:H41)</f>
        <v>450</v>
      </c>
      <c r="J41">
        <v>500</v>
      </c>
      <c r="K41">
        <f>Table2[[#This Row],[Total Sales]]*100/Table2[[#This Row],[Target]]</f>
        <v>90</v>
      </c>
      <c r="L41">
        <f t="shared" si="1"/>
        <v>10</v>
      </c>
    </row>
    <row r="42" spans="1:12" x14ac:dyDescent="0.25">
      <c r="A42" t="s">
        <v>15</v>
      </c>
      <c r="B42" t="s">
        <v>115</v>
      </c>
      <c r="C42" t="s">
        <v>214</v>
      </c>
      <c r="D42">
        <v>82</v>
      </c>
      <c r="E42">
        <v>77</v>
      </c>
      <c r="F42">
        <v>85</v>
      </c>
      <c r="G42">
        <v>88</v>
      </c>
      <c r="H42">
        <v>84</v>
      </c>
      <c r="I42">
        <f>SUM(D42:D42:H42)</f>
        <v>416</v>
      </c>
      <c r="J42">
        <v>500</v>
      </c>
      <c r="K42">
        <f>Table2[[#This Row],[Total Sales]]*100/Table2[[#This Row],[Target]]</f>
        <v>83.2</v>
      </c>
      <c r="L42">
        <f t="shared" si="1"/>
        <v>16.799999999999997</v>
      </c>
    </row>
    <row r="43" spans="1:12" x14ac:dyDescent="0.25">
      <c r="A43" t="s">
        <v>65</v>
      </c>
      <c r="B43" t="s">
        <v>165</v>
      </c>
      <c r="C43" t="s">
        <v>259</v>
      </c>
      <c r="D43">
        <v>89</v>
      </c>
      <c r="E43">
        <v>91</v>
      </c>
      <c r="F43">
        <v>88</v>
      </c>
      <c r="G43">
        <v>90</v>
      </c>
      <c r="H43">
        <v>92</v>
      </c>
      <c r="I43">
        <f>SUM(D43:D43:H43)</f>
        <v>450</v>
      </c>
      <c r="J43">
        <v>500</v>
      </c>
      <c r="K43">
        <f>Table2[[#This Row],[Total Sales]]*100/Table2[[#This Row],[Target]]</f>
        <v>90</v>
      </c>
      <c r="L43">
        <f t="shared" si="1"/>
        <v>10</v>
      </c>
    </row>
    <row r="44" spans="1:12" x14ac:dyDescent="0.25">
      <c r="A44" t="s">
        <v>53</v>
      </c>
      <c r="B44" t="s">
        <v>153</v>
      </c>
      <c r="C44" t="s">
        <v>259</v>
      </c>
      <c r="D44">
        <v>92</v>
      </c>
      <c r="E44">
        <v>94</v>
      </c>
      <c r="F44">
        <v>93</v>
      </c>
      <c r="G44">
        <v>95</v>
      </c>
      <c r="H44">
        <v>91</v>
      </c>
      <c r="I44">
        <f>SUM(D44:D44:H44)</f>
        <v>465</v>
      </c>
      <c r="J44">
        <v>500</v>
      </c>
      <c r="K44">
        <f>Table2[[#This Row],[Total Sales]]*100/Table2[[#This Row],[Target]]</f>
        <v>93</v>
      </c>
      <c r="L44">
        <f t="shared" si="1"/>
        <v>7</v>
      </c>
    </row>
    <row r="45" spans="1:12" x14ac:dyDescent="0.25">
      <c r="A45" t="s">
        <v>96</v>
      </c>
      <c r="B45" t="s">
        <v>196</v>
      </c>
      <c r="C45" t="s">
        <v>259</v>
      </c>
      <c r="D45">
        <v>95</v>
      </c>
      <c r="E45">
        <v>93</v>
      </c>
      <c r="F45">
        <v>96</v>
      </c>
      <c r="G45">
        <v>94</v>
      </c>
      <c r="H45">
        <v>97</v>
      </c>
      <c r="I45">
        <f>SUM(D45:D45:H45)</f>
        <v>475</v>
      </c>
      <c r="J45">
        <v>500</v>
      </c>
      <c r="K45">
        <f>Table2[[#This Row],[Total Sales]]*100/Table2[[#This Row],[Target]]</f>
        <v>95</v>
      </c>
      <c r="L45">
        <f t="shared" si="1"/>
        <v>5</v>
      </c>
    </row>
    <row r="46" spans="1:12" x14ac:dyDescent="0.25">
      <c r="A46" t="s">
        <v>41</v>
      </c>
      <c r="B46" t="s">
        <v>141</v>
      </c>
      <c r="C46" t="s">
        <v>259</v>
      </c>
      <c r="D46">
        <v>78</v>
      </c>
      <c r="E46">
        <v>80</v>
      </c>
      <c r="F46">
        <v>77</v>
      </c>
      <c r="G46">
        <v>79</v>
      </c>
      <c r="H46">
        <v>81</v>
      </c>
      <c r="I46">
        <f>SUM(D46:D46:H46)</f>
        <v>395</v>
      </c>
      <c r="J46">
        <v>500</v>
      </c>
      <c r="K46">
        <f>Table2[[#This Row],[Total Sales]]*100/Table2[[#This Row],[Target]]</f>
        <v>79</v>
      </c>
      <c r="L46">
        <f t="shared" si="1"/>
        <v>21</v>
      </c>
    </row>
    <row r="47" spans="1:12" x14ac:dyDescent="0.25">
      <c r="A47" t="s">
        <v>109</v>
      </c>
      <c r="B47" t="s">
        <v>154</v>
      </c>
      <c r="C47" t="s">
        <v>259</v>
      </c>
      <c r="D47">
        <v>56</v>
      </c>
      <c r="E47">
        <v>58</v>
      </c>
      <c r="F47">
        <v>93</v>
      </c>
      <c r="G47">
        <v>74</v>
      </c>
      <c r="H47">
        <v>81</v>
      </c>
      <c r="I47">
        <f>SUM(D47:D47:H47)</f>
        <v>362</v>
      </c>
      <c r="J47">
        <v>500</v>
      </c>
      <c r="K47">
        <f>Table2[[#This Row],[Total Sales]]*100/Table2[[#This Row],[Target]]</f>
        <v>72.400000000000006</v>
      </c>
      <c r="L47">
        <f t="shared" si="1"/>
        <v>27.599999999999994</v>
      </c>
    </row>
    <row r="48" spans="1:12" x14ac:dyDescent="0.25">
      <c r="A48" t="s">
        <v>73</v>
      </c>
      <c r="B48" t="s">
        <v>173</v>
      </c>
      <c r="C48" t="s">
        <v>267</v>
      </c>
      <c r="D48">
        <v>94</v>
      </c>
      <c r="E48">
        <v>96</v>
      </c>
      <c r="F48">
        <v>95</v>
      </c>
      <c r="G48">
        <v>97</v>
      </c>
      <c r="H48">
        <v>93</v>
      </c>
      <c r="I48">
        <f>SUM(D48:D48:H48)</f>
        <v>475</v>
      </c>
      <c r="J48">
        <v>500</v>
      </c>
      <c r="K48">
        <f>Table2[[#This Row],[Total Sales]]*100/Table2[[#This Row],[Target]]</f>
        <v>95</v>
      </c>
      <c r="L48">
        <f t="shared" si="1"/>
        <v>5</v>
      </c>
    </row>
    <row r="49" spans="1:12" x14ac:dyDescent="0.25">
      <c r="A49" t="s">
        <v>33</v>
      </c>
      <c r="B49" t="s">
        <v>133</v>
      </c>
      <c r="C49" t="s">
        <v>232</v>
      </c>
      <c r="D49">
        <v>90</v>
      </c>
      <c r="E49">
        <v>92</v>
      </c>
      <c r="F49">
        <v>94</v>
      </c>
      <c r="G49">
        <v>91</v>
      </c>
      <c r="H49">
        <v>93</v>
      </c>
      <c r="I49">
        <f>SUM(D49:D49:H49)</f>
        <v>460</v>
      </c>
      <c r="J49">
        <v>500</v>
      </c>
      <c r="K49">
        <f>Table2[[#This Row],[Total Sales]]*100/Table2[[#This Row],[Target]]</f>
        <v>92</v>
      </c>
      <c r="L49">
        <f t="shared" si="1"/>
        <v>8</v>
      </c>
    </row>
    <row r="50" spans="1:12" x14ac:dyDescent="0.25">
      <c r="A50" t="s">
        <v>78</v>
      </c>
      <c r="B50" t="s">
        <v>178</v>
      </c>
      <c r="C50" t="s">
        <v>215</v>
      </c>
      <c r="D50">
        <v>79</v>
      </c>
      <c r="E50">
        <v>77</v>
      </c>
      <c r="F50">
        <v>80</v>
      </c>
      <c r="G50">
        <v>78</v>
      </c>
      <c r="H50">
        <v>76</v>
      </c>
      <c r="I50">
        <f>SUM(D50:D50:H50)</f>
        <v>390</v>
      </c>
      <c r="J50">
        <v>500</v>
      </c>
      <c r="K50">
        <f>Table2[[#This Row],[Total Sales]]*100/Table2[[#This Row],[Target]]</f>
        <v>78</v>
      </c>
      <c r="L50">
        <f t="shared" si="1"/>
        <v>22</v>
      </c>
    </row>
    <row r="51" spans="1:12" x14ac:dyDescent="0.25">
      <c r="A51" t="s">
        <v>27</v>
      </c>
      <c r="B51" t="s">
        <v>127</v>
      </c>
      <c r="C51" t="s">
        <v>226</v>
      </c>
      <c r="D51">
        <v>77</v>
      </c>
      <c r="E51">
        <v>74</v>
      </c>
      <c r="F51">
        <v>76</v>
      </c>
      <c r="G51">
        <v>75</v>
      </c>
      <c r="H51">
        <v>78</v>
      </c>
      <c r="I51">
        <f>SUM(D51:D51:H51)</f>
        <v>380</v>
      </c>
      <c r="J51">
        <v>500</v>
      </c>
      <c r="K51">
        <f>Table2[[#This Row],[Total Sales]]*100/Table2[[#This Row],[Target]]</f>
        <v>76</v>
      </c>
      <c r="L51">
        <f t="shared" si="1"/>
        <v>24</v>
      </c>
    </row>
    <row r="52" spans="1:12" x14ac:dyDescent="0.25">
      <c r="A52" t="s">
        <v>87</v>
      </c>
      <c r="B52" t="s">
        <v>187</v>
      </c>
      <c r="C52" t="s">
        <v>215</v>
      </c>
      <c r="D52">
        <v>92</v>
      </c>
      <c r="E52">
        <v>90</v>
      </c>
      <c r="F52">
        <v>93</v>
      </c>
      <c r="G52">
        <v>91</v>
      </c>
      <c r="H52">
        <v>94</v>
      </c>
      <c r="I52">
        <f>SUM(D52:D52:H52)</f>
        <v>460</v>
      </c>
      <c r="J52">
        <v>500</v>
      </c>
      <c r="K52">
        <f>Table2[[#This Row],[Total Sales]]*100/Table2[[#This Row],[Target]]</f>
        <v>92</v>
      </c>
      <c r="L52">
        <f t="shared" si="1"/>
        <v>8</v>
      </c>
    </row>
    <row r="53" spans="1:12" x14ac:dyDescent="0.25">
      <c r="A53" t="s">
        <v>48</v>
      </c>
      <c r="B53" t="s">
        <v>148</v>
      </c>
      <c r="C53" t="s">
        <v>215</v>
      </c>
      <c r="D53">
        <v>96</v>
      </c>
      <c r="E53">
        <v>94</v>
      </c>
      <c r="F53">
        <v>97</v>
      </c>
      <c r="G53">
        <v>95</v>
      </c>
      <c r="H53">
        <v>93</v>
      </c>
      <c r="I53">
        <f>SUM(D53:D53:H53)</f>
        <v>475</v>
      </c>
      <c r="J53">
        <v>500</v>
      </c>
      <c r="K53">
        <f>Table2[[#This Row],[Total Sales]]*100/Table2[[#This Row],[Target]]</f>
        <v>95</v>
      </c>
      <c r="L53">
        <f t="shared" si="1"/>
        <v>5</v>
      </c>
    </row>
    <row r="54" spans="1:12" x14ac:dyDescent="0.25">
      <c r="A54" t="s">
        <v>16</v>
      </c>
      <c r="B54" t="s">
        <v>116</v>
      </c>
      <c r="C54" t="s">
        <v>215</v>
      </c>
      <c r="D54">
        <v>73</v>
      </c>
      <c r="E54">
        <v>69</v>
      </c>
      <c r="F54">
        <v>76</v>
      </c>
      <c r="G54">
        <v>71</v>
      </c>
      <c r="H54">
        <v>74</v>
      </c>
      <c r="I54">
        <f>SUM(D54:D54:H54)</f>
        <v>363</v>
      </c>
      <c r="J54">
        <v>500</v>
      </c>
      <c r="K54">
        <f>Table2[[#This Row],[Total Sales]]*100/Table2[[#This Row],[Target]]</f>
        <v>72.599999999999994</v>
      </c>
      <c r="L54">
        <f t="shared" si="1"/>
        <v>27.400000000000006</v>
      </c>
    </row>
    <row r="55" spans="1:12" x14ac:dyDescent="0.25">
      <c r="A55" t="s">
        <v>35</v>
      </c>
      <c r="B55" t="s">
        <v>135</v>
      </c>
      <c r="C55" t="s">
        <v>234</v>
      </c>
      <c r="D55">
        <v>88</v>
      </c>
      <c r="E55">
        <v>85</v>
      </c>
      <c r="F55">
        <v>89</v>
      </c>
      <c r="G55">
        <v>87</v>
      </c>
      <c r="H55">
        <v>86</v>
      </c>
      <c r="I55">
        <f>SUM(D55:D55:H55)</f>
        <v>435</v>
      </c>
      <c r="J55">
        <v>500</v>
      </c>
      <c r="K55">
        <f>Table2[[#This Row],[Total Sales]]*100/Table2[[#This Row],[Target]]</f>
        <v>87</v>
      </c>
      <c r="L55">
        <f t="shared" si="1"/>
        <v>13</v>
      </c>
    </row>
    <row r="56" spans="1:12" x14ac:dyDescent="0.25">
      <c r="A56" t="s">
        <v>40</v>
      </c>
      <c r="B56" t="s">
        <v>140</v>
      </c>
      <c r="C56" t="s">
        <v>237</v>
      </c>
      <c r="D56">
        <v>95</v>
      </c>
      <c r="E56">
        <v>93</v>
      </c>
      <c r="F56">
        <v>96</v>
      </c>
      <c r="G56">
        <v>94</v>
      </c>
      <c r="H56">
        <v>92</v>
      </c>
      <c r="I56">
        <f>SUM(D56:D56:H56)</f>
        <v>470</v>
      </c>
      <c r="J56">
        <v>500</v>
      </c>
      <c r="K56">
        <f>Table2[[#This Row],[Total Sales]]*100/Table2[[#This Row],[Target]]</f>
        <v>94</v>
      </c>
      <c r="L56">
        <f t="shared" si="1"/>
        <v>6</v>
      </c>
    </row>
    <row r="57" spans="1:12" x14ac:dyDescent="0.25">
      <c r="A57" t="s">
        <v>14</v>
      </c>
      <c r="B57" t="s">
        <v>114</v>
      </c>
      <c r="C57" t="s">
        <v>213</v>
      </c>
      <c r="D57">
        <v>96</v>
      </c>
      <c r="E57">
        <v>89</v>
      </c>
      <c r="F57">
        <v>93</v>
      </c>
      <c r="G57">
        <v>87</v>
      </c>
      <c r="H57">
        <v>90</v>
      </c>
      <c r="I57">
        <f>SUM(D57:D57:H57)</f>
        <v>455</v>
      </c>
      <c r="J57">
        <v>500</v>
      </c>
      <c r="K57">
        <f>Table2[[#This Row],[Total Sales]]*100/Table2[[#This Row],[Target]]</f>
        <v>91</v>
      </c>
      <c r="L57">
        <f t="shared" si="1"/>
        <v>9</v>
      </c>
    </row>
    <row r="58" spans="1:12" x14ac:dyDescent="0.25">
      <c r="A58" t="s">
        <v>38</v>
      </c>
      <c r="B58" t="s">
        <v>138</v>
      </c>
      <c r="C58" t="s">
        <v>237</v>
      </c>
      <c r="D58">
        <v>73</v>
      </c>
      <c r="E58">
        <v>75</v>
      </c>
      <c r="F58">
        <v>72</v>
      </c>
      <c r="G58">
        <v>74</v>
      </c>
      <c r="H58">
        <v>76</v>
      </c>
      <c r="I58">
        <f>SUM(D58:D58:H58)</f>
        <v>370</v>
      </c>
      <c r="J58">
        <v>500</v>
      </c>
      <c r="K58">
        <f>Table2[[#This Row],[Total Sales]]*100/Table2[[#This Row],[Target]]</f>
        <v>74</v>
      </c>
      <c r="L58">
        <f t="shared" si="1"/>
        <v>26</v>
      </c>
    </row>
    <row r="59" spans="1:12" x14ac:dyDescent="0.25">
      <c r="A59" t="s">
        <v>107</v>
      </c>
      <c r="B59" t="s">
        <v>207</v>
      </c>
      <c r="C59" t="s">
        <v>288</v>
      </c>
      <c r="D59">
        <v>63</v>
      </c>
      <c r="E59">
        <v>83</v>
      </c>
      <c r="F59">
        <v>94</v>
      </c>
      <c r="G59">
        <v>38</v>
      </c>
      <c r="H59">
        <v>56</v>
      </c>
      <c r="I59">
        <f>SUM(D59:D59:H59)</f>
        <v>334</v>
      </c>
      <c r="J59">
        <v>500</v>
      </c>
      <c r="K59">
        <f>Table2[[#This Row],[Total Sales]]*100/Table2[[#This Row],[Target]]</f>
        <v>66.8</v>
      </c>
      <c r="L59">
        <f t="shared" si="1"/>
        <v>33.200000000000003</v>
      </c>
    </row>
    <row r="60" spans="1:12" x14ac:dyDescent="0.25">
      <c r="A60" t="s">
        <v>55</v>
      </c>
      <c r="B60" t="s">
        <v>155</v>
      </c>
      <c r="C60" t="s">
        <v>250</v>
      </c>
      <c r="D60">
        <v>88</v>
      </c>
      <c r="E60">
        <v>86</v>
      </c>
      <c r="F60">
        <v>89</v>
      </c>
      <c r="G60">
        <v>87</v>
      </c>
      <c r="H60">
        <v>85</v>
      </c>
      <c r="I60">
        <f>SUM(D60:D60:H60)</f>
        <v>435</v>
      </c>
      <c r="J60">
        <v>500</v>
      </c>
      <c r="K60">
        <f>Table2[[#This Row],[Total Sales]]*100/Table2[[#This Row],[Target]]</f>
        <v>87</v>
      </c>
      <c r="L60">
        <f t="shared" si="1"/>
        <v>13</v>
      </c>
    </row>
    <row r="61" spans="1:12" x14ac:dyDescent="0.25">
      <c r="A61" t="s">
        <v>19</v>
      </c>
      <c r="B61" t="s">
        <v>119</v>
      </c>
      <c r="C61" t="s">
        <v>218</v>
      </c>
      <c r="D61">
        <v>78</v>
      </c>
      <c r="E61">
        <v>75</v>
      </c>
      <c r="F61">
        <v>72</v>
      </c>
      <c r="G61">
        <v>80</v>
      </c>
      <c r="H61">
        <v>77</v>
      </c>
      <c r="I61">
        <f>SUM(D61:D61:H61)</f>
        <v>382</v>
      </c>
      <c r="J61">
        <v>500</v>
      </c>
      <c r="K61">
        <f>Table2[[#This Row],[Total Sales]]*100/Table2[[#This Row],[Target]]</f>
        <v>76.400000000000006</v>
      </c>
      <c r="L61">
        <f t="shared" si="1"/>
        <v>23.599999999999994</v>
      </c>
    </row>
    <row r="62" spans="1:12" x14ac:dyDescent="0.25">
      <c r="A62" t="s">
        <v>20</v>
      </c>
      <c r="B62" t="s">
        <v>120</v>
      </c>
      <c r="C62" t="s">
        <v>219</v>
      </c>
      <c r="D62">
        <v>95</v>
      </c>
      <c r="E62">
        <v>97</v>
      </c>
      <c r="F62">
        <v>94</v>
      </c>
      <c r="G62">
        <v>96</v>
      </c>
      <c r="H62">
        <v>93</v>
      </c>
      <c r="I62">
        <f>SUM(D62:D62:H62)</f>
        <v>475</v>
      </c>
      <c r="J62">
        <v>500</v>
      </c>
      <c r="K62">
        <f>Table2[[#This Row],[Total Sales]]*100/Table2[[#This Row],[Target]]</f>
        <v>95</v>
      </c>
      <c r="L62">
        <f t="shared" si="1"/>
        <v>5</v>
      </c>
    </row>
    <row r="63" spans="1:12" x14ac:dyDescent="0.25">
      <c r="A63" t="s">
        <v>32</v>
      </c>
      <c r="B63" t="s">
        <v>132</v>
      </c>
      <c r="C63" t="s">
        <v>231</v>
      </c>
      <c r="D63">
        <v>79</v>
      </c>
      <c r="E63">
        <v>82</v>
      </c>
      <c r="F63">
        <v>80</v>
      </c>
      <c r="G63">
        <v>83</v>
      </c>
      <c r="H63">
        <v>81</v>
      </c>
      <c r="I63">
        <f>SUM(D63:D63:H63)</f>
        <v>405</v>
      </c>
      <c r="J63">
        <v>500</v>
      </c>
      <c r="K63">
        <f>Table2[[#This Row],[Total Sales]]*100/Table2[[#This Row],[Target]]</f>
        <v>81</v>
      </c>
      <c r="L63">
        <f t="shared" si="1"/>
        <v>19</v>
      </c>
    </row>
    <row r="64" spans="1:12" x14ac:dyDescent="0.25">
      <c r="A64" t="s">
        <v>66</v>
      </c>
      <c r="B64" t="s">
        <v>166</v>
      </c>
      <c r="C64" t="s">
        <v>260</v>
      </c>
      <c r="D64">
        <v>95</v>
      </c>
      <c r="E64">
        <v>93</v>
      </c>
      <c r="F64">
        <v>96</v>
      </c>
      <c r="G64">
        <v>94</v>
      </c>
      <c r="H64">
        <v>97</v>
      </c>
      <c r="I64">
        <f>SUM(D64:D64:H64)</f>
        <v>475</v>
      </c>
      <c r="J64">
        <v>500</v>
      </c>
      <c r="K64">
        <f>Table2[[#This Row],[Total Sales]]*100/Table2[[#This Row],[Target]]</f>
        <v>95</v>
      </c>
      <c r="L64">
        <f t="shared" si="1"/>
        <v>5</v>
      </c>
    </row>
    <row r="65" spans="1:12" x14ac:dyDescent="0.25">
      <c r="A65" t="s">
        <v>25</v>
      </c>
      <c r="B65" t="s">
        <v>125</v>
      </c>
      <c r="C65" t="s">
        <v>224</v>
      </c>
      <c r="D65">
        <v>92</v>
      </c>
      <c r="E65">
        <v>90</v>
      </c>
      <c r="F65">
        <v>94</v>
      </c>
      <c r="G65">
        <v>93</v>
      </c>
      <c r="H65">
        <v>91</v>
      </c>
      <c r="I65">
        <f>SUM(D65:D65:H65)</f>
        <v>460</v>
      </c>
      <c r="J65">
        <v>500</v>
      </c>
      <c r="K65">
        <f>Table2[[#This Row],[Total Sales]]*100/Table2[[#This Row],[Target]]</f>
        <v>92</v>
      </c>
      <c r="L65">
        <f t="shared" si="1"/>
        <v>8</v>
      </c>
    </row>
    <row r="66" spans="1:12" x14ac:dyDescent="0.25">
      <c r="A66" t="s">
        <v>11</v>
      </c>
      <c r="B66" t="s">
        <v>111</v>
      </c>
      <c r="C66" t="s">
        <v>210</v>
      </c>
      <c r="D66">
        <v>74</v>
      </c>
      <c r="E66">
        <v>85</v>
      </c>
      <c r="F66">
        <v>79</v>
      </c>
      <c r="G66">
        <v>90</v>
      </c>
      <c r="H66">
        <v>83</v>
      </c>
      <c r="I66">
        <f>SUM(D66:D66:H66)</f>
        <v>411</v>
      </c>
      <c r="J66">
        <v>500</v>
      </c>
      <c r="K66">
        <f>Table2[[#This Row],[Total Sales]]*100/Table2[[#This Row],[Target]]</f>
        <v>82.2</v>
      </c>
      <c r="L66">
        <f t="shared" ref="L66:L97" si="2">100-K66</f>
        <v>17.799999999999997</v>
      </c>
    </row>
    <row r="67" spans="1:12" x14ac:dyDescent="0.25">
      <c r="A67" t="s">
        <v>89</v>
      </c>
      <c r="B67" t="s">
        <v>189</v>
      </c>
      <c r="C67" t="s">
        <v>210</v>
      </c>
      <c r="D67">
        <v>88</v>
      </c>
      <c r="E67">
        <v>86</v>
      </c>
      <c r="F67">
        <v>89</v>
      </c>
      <c r="G67">
        <v>87</v>
      </c>
      <c r="H67">
        <v>85</v>
      </c>
      <c r="I67">
        <f>SUM(D67:D67:H67)</f>
        <v>435</v>
      </c>
      <c r="J67">
        <v>500</v>
      </c>
      <c r="K67">
        <f>Table2[[#This Row],[Total Sales]]*100/Table2[[#This Row],[Target]]</f>
        <v>87</v>
      </c>
      <c r="L67">
        <f t="shared" si="2"/>
        <v>13</v>
      </c>
    </row>
    <row r="68" spans="1:12" x14ac:dyDescent="0.25">
      <c r="A68" t="s">
        <v>54</v>
      </c>
      <c r="B68" t="s">
        <v>154</v>
      </c>
      <c r="C68" t="s">
        <v>249</v>
      </c>
      <c r="D68">
        <v>76</v>
      </c>
      <c r="E68">
        <v>78</v>
      </c>
      <c r="F68">
        <v>75</v>
      </c>
      <c r="G68">
        <v>77</v>
      </c>
      <c r="H68">
        <v>79</v>
      </c>
      <c r="I68">
        <f>SUM(D68:D68:H68)</f>
        <v>385</v>
      </c>
      <c r="J68">
        <v>500</v>
      </c>
      <c r="K68">
        <f>Table2[[#This Row],[Total Sales]]*100/Table2[[#This Row],[Target]]</f>
        <v>77</v>
      </c>
      <c r="L68">
        <f t="shared" si="2"/>
        <v>23</v>
      </c>
    </row>
    <row r="69" spans="1:12" x14ac:dyDescent="0.25">
      <c r="A69" t="s">
        <v>91</v>
      </c>
      <c r="B69" t="s">
        <v>191</v>
      </c>
      <c r="C69" t="s">
        <v>273</v>
      </c>
      <c r="D69">
        <v>81</v>
      </c>
      <c r="E69">
        <v>83</v>
      </c>
      <c r="F69">
        <v>82</v>
      </c>
      <c r="G69">
        <v>84</v>
      </c>
      <c r="H69">
        <v>80</v>
      </c>
      <c r="I69">
        <f>SUM(D69:D69:H69)</f>
        <v>410</v>
      </c>
      <c r="J69">
        <v>500</v>
      </c>
      <c r="K69">
        <f>Table2[[#This Row],[Total Sales]]*100/Table2[[#This Row],[Target]]</f>
        <v>82</v>
      </c>
      <c r="L69">
        <f t="shared" si="2"/>
        <v>18</v>
      </c>
    </row>
    <row r="70" spans="1:12" x14ac:dyDescent="0.25">
      <c r="A70" t="s">
        <v>85</v>
      </c>
      <c r="B70" t="s">
        <v>185</v>
      </c>
      <c r="C70" t="s">
        <v>241</v>
      </c>
      <c r="D70">
        <v>86</v>
      </c>
      <c r="E70">
        <v>84</v>
      </c>
      <c r="F70">
        <v>87</v>
      </c>
      <c r="G70">
        <v>85</v>
      </c>
      <c r="H70">
        <v>83</v>
      </c>
      <c r="I70">
        <f>SUM(D70:D70:H70)</f>
        <v>425</v>
      </c>
      <c r="J70">
        <v>500</v>
      </c>
      <c r="K70">
        <f>Table2[[#This Row],[Total Sales]]*100/Table2[[#This Row],[Target]]</f>
        <v>85</v>
      </c>
      <c r="L70">
        <f t="shared" si="2"/>
        <v>15</v>
      </c>
    </row>
    <row r="71" spans="1:12" x14ac:dyDescent="0.25">
      <c r="A71" t="s">
        <v>44</v>
      </c>
      <c r="B71" t="s">
        <v>144</v>
      </c>
      <c r="C71" t="s">
        <v>241</v>
      </c>
      <c r="D71">
        <v>91</v>
      </c>
      <c r="E71">
        <v>89</v>
      </c>
      <c r="F71">
        <v>92</v>
      </c>
      <c r="G71">
        <v>90</v>
      </c>
      <c r="H71">
        <v>93</v>
      </c>
      <c r="I71">
        <f>SUM(D71:D71:H71)</f>
        <v>455</v>
      </c>
      <c r="J71">
        <v>500</v>
      </c>
      <c r="K71">
        <f>Table2[[#This Row],[Total Sales]]*100/Table2[[#This Row],[Target]]</f>
        <v>91</v>
      </c>
      <c r="L71">
        <f t="shared" si="2"/>
        <v>9</v>
      </c>
    </row>
    <row r="72" spans="1:12" x14ac:dyDescent="0.25">
      <c r="A72" t="s">
        <v>43</v>
      </c>
      <c r="B72" t="s">
        <v>143</v>
      </c>
      <c r="C72" t="s">
        <v>240</v>
      </c>
      <c r="D72">
        <v>69</v>
      </c>
      <c r="E72">
        <v>72</v>
      </c>
      <c r="F72">
        <v>70</v>
      </c>
      <c r="G72">
        <v>71</v>
      </c>
      <c r="H72">
        <v>73</v>
      </c>
      <c r="I72">
        <f>SUM(D72:D72:H72)</f>
        <v>355</v>
      </c>
      <c r="J72">
        <v>500</v>
      </c>
      <c r="K72">
        <f>Table2[[#This Row],[Total Sales]]*100/Table2[[#This Row],[Target]]</f>
        <v>71</v>
      </c>
      <c r="L72">
        <f t="shared" si="2"/>
        <v>29</v>
      </c>
    </row>
    <row r="73" spans="1:12" x14ac:dyDescent="0.25">
      <c r="A73" t="s">
        <v>84</v>
      </c>
      <c r="B73" t="s">
        <v>184</v>
      </c>
      <c r="C73" t="s">
        <v>240</v>
      </c>
      <c r="D73">
        <v>78</v>
      </c>
      <c r="E73">
        <v>80</v>
      </c>
      <c r="F73">
        <v>77</v>
      </c>
      <c r="G73">
        <v>79</v>
      </c>
      <c r="H73">
        <v>81</v>
      </c>
      <c r="I73">
        <f>SUM(D73:D73:H73)</f>
        <v>395</v>
      </c>
      <c r="J73">
        <v>500</v>
      </c>
      <c r="K73">
        <f>Table2[[#This Row],[Total Sales]]*100/Table2[[#This Row],[Target]]</f>
        <v>79</v>
      </c>
      <c r="L73">
        <f t="shared" si="2"/>
        <v>21</v>
      </c>
    </row>
    <row r="74" spans="1:12" x14ac:dyDescent="0.25">
      <c r="A74" t="s">
        <v>80</v>
      </c>
      <c r="B74" t="s">
        <v>180</v>
      </c>
      <c r="C74" t="s">
        <v>225</v>
      </c>
      <c r="D74">
        <v>82</v>
      </c>
      <c r="E74">
        <v>84</v>
      </c>
      <c r="F74">
        <v>81</v>
      </c>
      <c r="G74">
        <v>83</v>
      </c>
      <c r="H74">
        <v>85</v>
      </c>
      <c r="I74">
        <f>SUM(D74:D74:H74)</f>
        <v>415</v>
      </c>
      <c r="J74">
        <v>500</v>
      </c>
      <c r="K74">
        <f>Table2[[#This Row],[Total Sales]]*100/Table2[[#This Row],[Target]]</f>
        <v>83</v>
      </c>
      <c r="L74">
        <f t="shared" si="2"/>
        <v>17</v>
      </c>
    </row>
    <row r="75" spans="1:12" x14ac:dyDescent="0.25">
      <c r="A75" t="s">
        <v>26</v>
      </c>
      <c r="B75" t="s">
        <v>126</v>
      </c>
      <c r="C75" t="s">
        <v>225</v>
      </c>
      <c r="D75">
        <v>81</v>
      </c>
      <c r="E75">
        <v>83</v>
      </c>
      <c r="F75">
        <v>85</v>
      </c>
      <c r="G75">
        <v>82</v>
      </c>
      <c r="H75">
        <v>84</v>
      </c>
      <c r="I75">
        <f>SUM(D75:D75:H75)</f>
        <v>415</v>
      </c>
      <c r="J75">
        <v>500</v>
      </c>
      <c r="K75">
        <f>Table2[[#This Row],[Total Sales]]*100/Table2[[#This Row],[Target]]</f>
        <v>83</v>
      </c>
      <c r="L75">
        <f t="shared" si="2"/>
        <v>17</v>
      </c>
    </row>
    <row r="76" spans="1:12" x14ac:dyDescent="0.25">
      <c r="A76" t="s">
        <v>56</v>
      </c>
      <c r="B76" t="s">
        <v>156</v>
      </c>
      <c r="C76" t="s">
        <v>251</v>
      </c>
      <c r="D76">
        <v>95</v>
      </c>
      <c r="E76">
        <v>97</v>
      </c>
      <c r="F76">
        <v>96</v>
      </c>
      <c r="G76">
        <v>94</v>
      </c>
      <c r="H76">
        <v>93</v>
      </c>
      <c r="I76">
        <f>SUM(D76:D76:H76)</f>
        <v>475</v>
      </c>
      <c r="J76">
        <v>500</v>
      </c>
      <c r="K76">
        <f>Table2[[#This Row],[Total Sales]]*100/Table2[[#This Row],[Target]]</f>
        <v>95</v>
      </c>
      <c r="L76">
        <f t="shared" si="2"/>
        <v>5</v>
      </c>
    </row>
    <row r="77" spans="1:12" x14ac:dyDescent="0.25">
      <c r="A77" t="s">
        <v>95</v>
      </c>
      <c r="B77" t="s">
        <v>195</v>
      </c>
      <c r="C77" t="s">
        <v>277</v>
      </c>
      <c r="D77">
        <v>79</v>
      </c>
      <c r="E77">
        <v>77</v>
      </c>
      <c r="F77">
        <v>80</v>
      </c>
      <c r="G77">
        <v>78</v>
      </c>
      <c r="H77">
        <v>76</v>
      </c>
      <c r="I77">
        <f>SUM(D77:D77:H77)</f>
        <v>390</v>
      </c>
      <c r="J77">
        <v>500</v>
      </c>
      <c r="K77">
        <f>Table2[[#This Row],[Total Sales]]*100/Table2[[#This Row],[Target]]</f>
        <v>78</v>
      </c>
      <c r="L77">
        <f t="shared" si="2"/>
        <v>22</v>
      </c>
    </row>
    <row r="78" spans="1:12" x14ac:dyDescent="0.25">
      <c r="A78" t="s">
        <v>86</v>
      </c>
      <c r="B78" t="s">
        <v>186</v>
      </c>
      <c r="C78" t="s">
        <v>243</v>
      </c>
      <c r="D78">
        <v>71</v>
      </c>
      <c r="E78">
        <v>73</v>
      </c>
      <c r="F78">
        <v>70</v>
      </c>
      <c r="G78">
        <v>72</v>
      </c>
      <c r="H78">
        <v>74</v>
      </c>
      <c r="I78">
        <f>SUM(D78:D78:H78)</f>
        <v>360</v>
      </c>
      <c r="J78">
        <v>500</v>
      </c>
      <c r="K78">
        <f>Table2[[#This Row],[Total Sales]]*100/Table2[[#This Row],[Target]]</f>
        <v>72</v>
      </c>
      <c r="L78">
        <f t="shared" si="2"/>
        <v>28</v>
      </c>
    </row>
    <row r="79" spans="1:12" x14ac:dyDescent="0.25">
      <c r="A79" t="s">
        <v>46</v>
      </c>
      <c r="B79" t="s">
        <v>146</v>
      </c>
      <c r="C79" t="s">
        <v>243</v>
      </c>
      <c r="D79">
        <v>88</v>
      </c>
      <c r="E79">
        <v>90</v>
      </c>
      <c r="F79">
        <v>87</v>
      </c>
      <c r="G79">
        <v>89</v>
      </c>
      <c r="H79">
        <v>86</v>
      </c>
      <c r="I79">
        <f>SUM(D79:D79:H79)</f>
        <v>440</v>
      </c>
      <c r="J79">
        <v>500</v>
      </c>
      <c r="K79">
        <f>Table2[[#This Row],[Total Sales]]*100/Table2[[#This Row],[Target]]</f>
        <v>88</v>
      </c>
      <c r="L79">
        <f t="shared" si="2"/>
        <v>12</v>
      </c>
    </row>
    <row r="80" spans="1:12" x14ac:dyDescent="0.25">
      <c r="A80" t="s">
        <v>63</v>
      </c>
      <c r="B80" t="s">
        <v>163</v>
      </c>
      <c r="C80" t="s">
        <v>257</v>
      </c>
      <c r="D80">
        <v>82</v>
      </c>
      <c r="E80">
        <v>84</v>
      </c>
      <c r="F80">
        <v>81</v>
      </c>
      <c r="G80">
        <v>83</v>
      </c>
      <c r="H80">
        <v>85</v>
      </c>
      <c r="I80">
        <f>SUM(D80:D80:H80)</f>
        <v>415</v>
      </c>
      <c r="J80">
        <v>500</v>
      </c>
      <c r="K80">
        <f>Table2[[#This Row],[Total Sales]]*100/Table2[[#This Row],[Target]]</f>
        <v>83</v>
      </c>
      <c r="L80">
        <f t="shared" si="2"/>
        <v>17</v>
      </c>
    </row>
    <row r="81" spans="1:12" x14ac:dyDescent="0.25">
      <c r="A81" t="s">
        <v>70</v>
      </c>
      <c r="B81" t="s">
        <v>170</v>
      </c>
      <c r="C81" t="s">
        <v>264</v>
      </c>
      <c r="D81">
        <v>92</v>
      </c>
      <c r="E81">
        <v>90</v>
      </c>
      <c r="F81">
        <v>93</v>
      </c>
      <c r="G81">
        <v>91</v>
      </c>
      <c r="H81">
        <v>94</v>
      </c>
      <c r="I81">
        <f>SUM(D81:D81:H81)</f>
        <v>460</v>
      </c>
      <c r="J81">
        <v>500</v>
      </c>
      <c r="K81">
        <f>Table2[[#This Row],[Total Sales]]*100/Table2[[#This Row],[Target]]</f>
        <v>92</v>
      </c>
      <c r="L81">
        <f t="shared" si="2"/>
        <v>8</v>
      </c>
    </row>
    <row r="82" spans="1:12" x14ac:dyDescent="0.25">
      <c r="A82" t="s">
        <v>69</v>
      </c>
      <c r="B82" t="s">
        <v>169</v>
      </c>
      <c r="C82" t="s">
        <v>263</v>
      </c>
      <c r="D82">
        <v>71</v>
      </c>
      <c r="E82">
        <v>73</v>
      </c>
      <c r="F82">
        <v>70</v>
      </c>
      <c r="G82">
        <v>72</v>
      </c>
      <c r="H82">
        <v>74</v>
      </c>
      <c r="I82">
        <f>SUM(D82:D82:H82)</f>
        <v>360</v>
      </c>
      <c r="J82">
        <v>500</v>
      </c>
      <c r="K82">
        <f>Table2[[#This Row],[Total Sales]]*100/Table2[[#This Row],[Target]]</f>
        <v>72</v>
      </c>
      <c r="L82">
        <f t="shared" si="2"/>
        <v>28</v>
      </c>
    </row>
    <row r="83" spans="1:12" x14ac:dyDescent="0.25">
      <c r="A83" t="s">
        <v>102</v>
      </c>
      <c r="B83" t="s">
        <v>202</v>
      </c>
      <c r="C83" t="s">
        <v>283</v>
      </c>
      <c r="D83">
        <v>86</v>
      </c>
      <c r="E83">
        <v>84</v>
      </c>
      <c r="F83">
        <v>87</v>
      </c>
      <c r="G83">
        <v>85</v>
      </c>
      <c r="H83">
        <v>83</v>
      </c>
      <c r="I83">
        <f>SUM(D83:D83:H83)</f>
        <v>425</v>
      </c>
      <c r="J83">
        <v>500</v>
      </c>
      <c r="K83">
        <f>Table2[[#This Row],[Total Sales]]*100/Table2[[#This Row],[Target]]</f>
        <v>85</v>
      </c>
      <c r="L83">
        <f t="shared" si="2"/>
        <v>15</v>
      </c>
    </row>
    <row r="84" spans="1:12" x14ac:dyDescent="0.25">
      <c r="A84" t="s">
        <v>71</v>
      </c>
      <c r="B84" t="s">
        <v>171</v>
      </c>
      <c r="C84" t="s">
        <v>265</v>
      </c>
      <c r="D84">
        <v>76</v>
      </c>
      <c r="E84">
        <v>78</v>
      </c>
      <c r="F84">
        <v>75</v>
      </c>
      <c r="G84">
        <v>77</v>
      </c>
      <c r="H84">
        <v>79</v>
      </c>
      <c r="I84">
        <f>SUM(D84:D84:H84)</f>
        <v>385</v>
      </c>
      <c r="J84">
        <v>500</v>
      </c>
      <c r="K84">
        <f>Table2[[#This Row],[Total Sales]]*100/Table2[[#This Row],[Target]]</f>
        <v>77</v>
      </c>
      <c r="L84">
        <f t="shared" si="2"/>
        <v>23</v>
      </c>
    </row>
    <row r="85" spans="1:12" x14ac:dyDescent="0.25">
      <c r="A85" t="s">
        <v>58</v>
      </c>
      <c r="B85" t="s">
        <v>158</v>
      </c>
      <c r="C85" t="s">
        <v>253</v>
      </c>
      <c r="D85">
        <v>74</v>
      </c>
      <c r="E85">
        <v>72</v>
      </c>
      <c r="F85">
        <v>75</v>
      </c>
      <c r="G85">
        <v>73</v>
      </c>
      <c r="H85">
        <v>71</v>
      </c>
      <c r="I85">
        <f>SUM(D85:D85:H85)</f>
        <v>365</v>
      </c>
      <c r="J85">
        <v>500</v>
      </c>
      <c r="K85">
        <f>Table2[[#This Row],[Total Sales]]*100/Table2[[#This Row],[Target]]</f>
        <v>73</v>
      </c>
      <c r="L85">
        <f t="shared" si="2"/>
        <v>27</v>
      </c>
    </row>
    <row r="86" spans="1:12" x14ac:dyDescent="0.25">
      <c r="A86" t="s">
        <v>50</v>
      </c>
      <c r="B86" t="s">
        <v>150</v>
      </c>
      <c r="C86" t="s">
        <v>246</v>
      </c>
      <c r="D86">
        <v>90</v>
      </c>
      <c r="E86">
        <v>88</v>
      </c>
      <c r="F86">
        <v>91</v>
      </c>
      <c r="G86">
        <v>89</v>
      </c>
      <c r="H86">
        <v>92</v>
      </c>
      <c r="I86">
        <f>SUM(D86:D86:H86)</f>
        <v>450</v>
      </c>
      <c r="J86">
        <v>500</v>
      </c>
      <c r="K86">
        <f>Table2[[#This Row],[Total Sales]]*100/Table2[[#This Row],[Target]]</f>
        <v>90</v>
      </c>
      <c r="L86">
        <f t="shared" si="2"/>
        <v>10</v>
      </c>
    </row>
    <row r="87" spans="1:12" x14ac:dyDescent="0.25">
      <c r="A87" t="s">
        <v>59</v>
      </c>
      <c r="B87" t="s">
        <v>159</v>
      </c>
      <c r="C87" t="s">
        <v>254</v>
      </c>
      <c r="D87">
        <v>90</v>
      </c>
      <c r="E87">
        <v>92</v>
      </c>
      <c r="F87">
        <v>91</v>
      </c>
      <c r="G87">
        <v>93</v>
      </c>
      <c r="H87">
        <v>89</v>
      </c>
      <c r="I87">
        <f>SUM(D87:D87:H87)</f>
        <v>455</v>
      </c>
      <c r="J87">
        <v>500</v>
      </c>
      <c r="K87">
        <f>Table2[[#This Row],[Total Sales]]*100/Table2[[#This Row],[Target]]</f>
        <v>91</v>
      </c>
      <c r="L87">
        <f t="shared" si="2"/>
        <v>9</v>
      </c>
    </row>
    <row r="88" spans="1:12" x14ac:dyDescent="0.25">
      <c r="A88" t="s">
        <v>23</v>
      </c>
      <c r="B88" t="s">
        <v>123</v>
      </c>
      <c r="C88" t="s">
        <v>222</v>
      </c>
      <c r="D88">
        <v>88</v>
      </c>
      <c r="E88">
        <v>91</v>
      </c>
      <c r="F88">
        <v>90</v>
      </c>
      <c r="G88">
        <v>92</v>
      </c>
      <c r="H88">
        <v>89</v>
      </c>
      <c r="I88">
        <f>SUM(D88:D88:H88)</f>
        <v>450</v>
      </c>
      <c r="J88">
        <v>500</v>
      </c>
      <c r="K88">
        <f>Table2[[#This Row],[Total Sales]]*100/Table2[[#This Row],[Target]]</f>
        <v>90</v>
      </c>
      <c r="L88">
        <f t="shared" si="2"/>
        <v>10</v>
      </c>
    </row>
    <row r="89" spans="1:12" x14ac:dyDescent="0.25">
      <c r="A89" t="s">
        <v>21</v>
      </c>
      <c r="B89" t="s">
        <v>121</v>
      </c>
      <c r="C89" t="s">
        <v>220</v>
      </c>
      <c r="D89">
        <v>84</v>
      </c>
      <c r="E89">
        <v>82</v>
      </c>
      <c r="F89">
        <v>88</v>
      </c>
      <c r="G89">
        <v>85</v>
      </c>
      <c r="H89">
        <v>87</v>
      </c>
      <c r="I89">
        <f>SUM(D89:D89:H89)</f>
        <v>426</v>
      </c>
      <c r="J89">
        <v>500</v>
      </c>
      <c r="K89">
        <f>Table2[[#This Row],[Total Sales]]*100/Table2[[#This Row],[Target]]</f>
        <v>85.2</v>
      </c>
      <c r="L89">
        <f t="shared" si="2"/>
        <v>14.799999999999997</v>
      </c>
    </row>
    <row r="90" spans="1:12" x14ac:dyDescent="0.25">
      <c r="A90" t="s">
        <v>79</v>
      </c>
      <c r="B90" t="s">
        <v>179</v>
      </c>
      <c r="C90" t="s">
        <v>270</v>
      </c>
      <c r="D90">
        <v>95</v>
      </c>
      <c r="E90">
        <v>93</v>
      </c>
      <c r="F90">
        <v>96</v>
      </c>
      <c r="G90">
        <v>94</v>
      </c>
      <c r="H90">
        <v>97</v>
      </c>
      <c r="I90">
        <f>SUM(D90:D90:H90)</f>
        <v>475</v>
      </c>
      <c r="J90">
        <v>500</v>
      </c>
      <c r="K90">
        <f>Table2[[#This Row],[Total Sales]]*100/Table2[[#This Row],[Target]]</f>
        <v>95</v>
      </c>
      <c r="L90">
        <f t="shared" si="2"/>
        <v>5</v>
      </c>
    </row>
    <row r="91" spans="1:12" x14ac:dyDescent="0.25">
      <c r="A91" t="s">
        <v>100</v>
      </c>
      <c r="B91" t="s">
        <v>200</v>
      </c>
      <c r="C91" t="s">
        <v>281</v>
      </c>
      <c r="D91">
        <v>96</v>
      </c>
      <c r="E91">
        <v>94</v>
      </c>
      <c r="F91">
        <v>97</v>
      </c>
      <c r="G91">
        <v>95</v>
      </c>
      <c r="H91">
        <v>93</v>
      </c>
      <c r="I91">
        <f>SUM(D91:D91:H91)</f>
        <v>475</v>
      </c>
      <c r="J91">
        <v>500</v>
      </c>
      <c r="K91">
        <f>Table2[[#This Row],[Total Sales]]*100/Table2[[#This Row],[Target]]</f>
        <v>95</v>
      </c>
      <c r="L91">
        <f t="shared" si="2"/>
        <v>5</v>
      </c>
    </row>
    <row r="92" spans="1:12" x14ac:dyDescent="0.25">
      <c r="A92" t="s">
        <v>39</v>
      </c>
      <c r="B92" t="s">
        <v>139</v>
      </c>
      <c r="C92" t="s">
        <v>238</v>
      </c>
      <c r="D92">
        <v>87</v>
      </c>
      <c r="E92">
        <v>90</v>
      </c>
      <c r="F92">
        <v>88</v>
      </c>
      <c r="G92">
        <v>89</v>
      </c>
      <c r="H92">
        <v>91</v>
      </c>
      <c r="I92">
        <f>SUM(D92:D92:H92)</f>
        <v>445</v>
      </c>
      <c r="J92">
        <v>500</v>
      </c>
      <c r="K92">
        <f>Table2[[#This Row],[Total Sales]]*100/Table2[[#This Row],[Target]]</f>
        <v>89</v>
      </c>
      <c r="L92">
        <f t="shared" si="2"/>
        <v>11</v>
      </c>
    </row>
    <row r="93" spans="1:12" x14ac:dyDescent="0.25">
      <c r="A93" t="s">
        <v>34</v>
      </c>
      <c r="B93" t="s">
        <v>134</v>
      </c>
      <c r="C93" t="s">
        <v>233</v>
      </c>
      <c r="D93">
        <v>76</v>
      </c>
      <c r="E93">
        <v>78</v>
      </c>
      <c r="F93">
        <v>75</v>
      </c>
      <c r="G93">
        <v>77</v>
      </c>
      <c r="H93">
        <v>74</v>
      </c>
      <c r="I93">
        <f>SUM(D93:D93:H93)</f>
        <v>380</v>
      </c>
      <c r="J93">
        <v>500</v>
      </c>
      <c r="K93">
        <f>Table2[[#This Row],[Total Sales]]*100/Table2[[#This Row],[Target]]</f>
        <v>76</v>
      </c>
      <c r="L93">
        <f t="shared" si="2"/>
        <v>24</v>
      </c>
    </row>
    <row r="94" spans="1:12" x14ac:dyDescent="0.25">
      <c r="A94" t="s">
        <v>17</v>
      </c>
      <c r="B94" t="s">
        <v>117</v>
      </c>
      <c r="C94" t="s">
        <v>216</v>
      </c>
      <c r="D94">
        <v>90</v>
      </c>
      <c r="E94">
        <v>94</v>
      </c>
      <c r="F94">
        <v>88</v>
      </c>
      <c r="G94">
        <v>92</v>
      </c>
      <c r="H94">
        <v>91</v>
      </c>
      <c r="I94">
        <f>SUM(D94:D94:H94)</f>
        <v>455</v>
      </c>
      <c r="J94">
        <v>500</v>
      </c>
      <c r="K94">
        <f>Table2[[#This Row],[Total Sales]]*100/Table2[[#This Row],[Target]]</f>
        <v>91</v>
      </c>
      <c r="L94">
        <f t="shared" si="2"/>
        <v>9</v>
      </c>
    </row>
    <row r="95" spans="1:12" x14ac:dyDescent="0.25">
      <c r="A95" t="s">
        <v>75</v>
      </c>
      <c r="B95" t="s">
        <v>175</v>
      </c>
      <c r="C95" t="s">
        <v>269</v>
      </c>
      <c r="D95">
        <v>74</v>
      </c>
      <c r="E95">
        <v>72</v>
      </c>
      <c r="F95">
        <v>75</v>
      </c>
      <c r="G95">
        <v>73</v>
      </c>
      <c r="H95">
        <v>71</v>
      </c>
      <c r="I95">
        <f>SUM(D95:D95:H95)</f>
        <v>365</v>
      </c>
      <c r="J95">
        <v>500</v>
      </c>
      <c r="K95">
        <f>Table2[[#This Row],[Total Sales]]*100/Table2[[#This Row],[Target]]</f>
        <v>73</v>
      </c>
      <c r="L95">
        <f t="shared" si="2"/>
        <v>27</v>
      </c>
    </row>
    <row r="96" spans="1:12" x14ac:dyDescent="0.25">
      <c r="A96" t="s">
        <v>108</v>
      </c>
      <c r="B96" t="s">
        <v>208</v>
      </c>
      <c r="C96" t="s">
        <v>289</v>
      </c>
      <c r="D96">
        <v>78</v>
      </c>
      <c r="E96">
        <v>89</v>
      </c>
      <c r="F96">
        <v>56</v>
      </c>
      <c r="G96">
        <v>48</v>
      </c>
      <c r="H96">
        <v>95</v>
      </c>
      <c r="I96">
        <f>SUM(D96:D96:H96)</f>
        <v>366</v>
      </c>
      <c r="J96">
        <v>500</v>
      </c>
      <c r="K96">
        <f>Table2[[#This Row],[Total Sales]]*100/Table2[[#This Row],[Target]]</f>
        <v>73.2</v>
      </c>
      <c r="L96">
        <f t="shared" si="2"/>
        <v>26.799999999999997</v>
      </c>
    </row>
    <row r="97" spans="1:12" x14ac:dyDescent="0.25">
      <c r="A97" t="s">
        <v>62</v>
      </c>
      <c r="B97" t="s">
        <v>162</v>
      </c>
      <c r="C97" t="s">
        <v>256</v>
      </c>
      <c r="D97">
        <v>94</v>
      </c>
      <c r="E97">
        <v>96</v>
      </c>
      <c r="F97">
        <v>95</v>
      </c>
      <c r="G97">
        <v>97</v>
      </c>
      <c r="H97">
        <v>93</v>
      </c>
      <c r="I97">
        <f>SUM(D97:D97:H97)</f>
        <v>475</v>
      </c>
      <c r="J97">
        <v>500</v>
      </c>
      <c r="K97">
        <f>Table2[[#This Row],[Total Sales]]*100/Table2[[#This Row],[Target]]</f>
        <v>95</v>
      </c>
      <c r="L97">
        <f t="shared" si="2"/>
        <v>5</v>
      </c>
    </row>
    <row r="98" spans="1:12" x14ac:dyDescent="0.25">
      <c r="A98" t="s">
        <v>24</v>
      </c>
      <c r="B98" t="s">
        <v>124</v>
      </c>
      <c r="C98" t="s">
        <v>223</v>
      </c>
      <c r="D98">
        <v>69</v>
      </c>
      <c r="E98">
        <v>71</v>
      </c>
      <c r="F98">
        <v>73</v>
      </c>
      <c r="G98">
        <v>70</v>
      </c>
      <c r="H98">
        <v>72</v>
      </c>
      <c r="I98">
        <f>SUM(D98:D98:H98)</f>
        <v>355</v>
      </c>
      <c r="J98">
        <v>500</v>
      </c>
      <c r="K98">
        <f>Table2[[#This Row],[Total Sales]]*100/Table2[[#This Row],[Target]]</f>
        <v>71</v>
      </c>
      <c r="L98">
        <f t="shared" ref="L98:L101" si="3">100-K98</f>
        <v>29</v>
      </c>
    </row>
    <row r="99" spans="1:12" x14ac:dyDescent="0.25">
      <c r="A99" t="s">
        <v>98</v>
      </c>
      <c r="B99" t="s">
        <v>198</v>
      </c>
      <c r="C99" t="s">
        <v>279</v>
      </c>
      <c r="D99">
        <v>73</v>
      </c>
      <c r="E99">
        <v>75</v>
      </c>
      <c r="F99">
        <v>72</v>
      </c>
      <c r="G99">
        <v>74</v>
      </c>
      <c r="H99">
        <v>76</v>
      </c>
      <c r="I99">
        <f>SUM(D99:D99:H99)</f>
        <v>370</v>
      </c>
      <c r="J99">
        <v>500</v>
      </c>
      <c r="K99">
        <f>Table2[[#This Row],[Total Sales]]*100/Table2[[#This Row],[Target]]</f>
        <v>74</v>
      </c>
      <c r="L99">
        <f t="shared" si="3"/>
        <v>26</v>
      </c>
    </row>
    <row r="100" spans="1:12" x14ac:dyDescent="0.25">
      <c r="A100" t="s">
        <v>42</v>
      </c>
      <c r="B100" t="s">
        <v>142</v>
      </c>
      <c r="C100" t="s">
        <v>239</v>
      </c>
      <c r="D100">
        <v>84</v>
      </c>
      <c r="E100">
        <v>86</v>
      </c>
      <c r="F100">
        <v>83</v>
      </c>
      <c r="G100">
        <v>85</v>
      </c>
      <c r="H100">
        <v>87</v>
      </c>
      <c r="I100">
        <f>SUM(D100:D100:H100)</f>
        <v>425</v>
      </c>
      <c r="J100">
        <v>500</v>
      </c>
      <c r="K100">
        <f>Table2[[#This Row],[Total Sales]]*100/Table2[[#This Row],[Target]]</f>
        <v>85</v>
      </c>
      <c r="L100">
        <f t="shared" si="3"/>
        <v>15</v>
      </c>
    </row>
    <row r="101" spans="1:12" x14ac:dyDescent="0.25">
      <c r="A101" t="s">
        <v>103</v>
      </c>
      <c r="B101" t="s">
        <v>203</v>
      </c>
      <c r="C101" t="s">
        <v>284</v>
      </c>
      <c r="D101">
        <v>71</v>
      </c>
      <c r="E101">
        <v>73</v>
      </c>
      <c r="F101">
        <v>70</v>
      </c>
      <c r="G101">
        <v>72</v>
      </c>
      <c r="H101">
        <v>74</v>
      </c>
      <c r="I101">
        <f>SUM(D101:D101:H101)</f>
        <v>360</v>
      </c>
      <c r="J101">
        <v>500</v>
      </c>
      <c r="K101">
        <f>Table2[[#This Row],[Total Sales]]*100/Table2[[#This Row],[Target]]</f>
        <v>72</v>
      </c>
      <c r="L101">
        <f t="shared" si="3"/>
        <v>28</v>
      </c>
    </row>
  </sheetData>
  <phoneticPr fontId="1" type="noConversion"/>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kemcho</dc:creator>
  <cp:lastModifiedBy>kemcho</cp:lastModifiedBy>
  <cp:lastPrinted>2025-12-25T19:16:02Z</cp:lastPrinted>
  <dcterms:created xsi:type="dcterms:W3CDTF">2025-12-25T10:14:45Z</dcterms:created>
  <dcterms:modified xsi:type="dcterms:W3CDTF">2025-12-26T10:12:18Z</dcterms:modified>
</cp:coreProperties>
</file>